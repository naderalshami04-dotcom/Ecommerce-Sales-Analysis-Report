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050"/>
  </bookViews>
  <sheets>
    <sheet name="Cover" sheetId="1" r:id="rId1"/>
    <sheet name="Overview" sheetId="2" r:id="rId2"/>
    <sheet name="Regional Analysis" sheetId="3" r:id="rId3"/>
    <sheet name="Product Analysis" sheetId="4" r:id="rId4"/>
    <sheet name="Customer Analysis" sheetId="5" r:id="rId5"/>
    <sheet name="Time Analysis" sheetId="6" r:id="rId6"/>
  </sheets>
  <definedNames>
    <definedName name="_xlchart.0" hidden="1">'Time Analysis'!$A$33:$A$44</definedName>
    <definedName name="_xlchart.1" hidden="1">'Time Analysis'!$B$32</definedName>
    <definedName name="_xlchart.2" hidden="1">'Time Analysis'!$B$33:$B$44</definedName>
    <definedName name="_xlchart.3" hidden="1">'Time Analysis'!$C$32</definedName>
    <definedName name="_xlchart.4" hidden="1">'Time Analysis'!$C$33:$C$44</definedName>
    <definedName name="_xlchart.5" hidden="1">'Time Analysis'!$D$32</definedName>
    <definedName name="_xlchart.6" hidden="1">'Time Analysis'!$D$33:$D$44</definedName>
    <definedName name="_xlchart.7" hidden="1">'Time Analysis'!$E$32</definedName>
    <definedName name="_xlchart.8" hidden="1">'Time Analysis'!$E$33:$E$44</definedName>
  </definedNames>
  <calcPr calcId="0"/>
</workbook>
</file>

<file path=xl/sharedStrings.xml><?xml version="1.0" encoding="utf-8"?>
<sst xmlns="http://schemas.openxmlformats.org/spreadsheetml/2006/main" count="377" uniqueCount="260">
  <si>
    <t>E-COMMERCE SALES</t>
  </si>
  <si>
    <t>PERFORMANCE REPORT</t>
  </si>
  <si>
    <t>Retail Sales Dataset  ·  9,993 Orders  ·  793 Customers  ·  4 Regions</t>
  </si>
  <si>
    <t>Analysis Period: 2014 – 2017</t>
  </si>
  <si>
    <t>TOTAL SALES</t>
  </si>
  <si>
    <t>$2,297,201</t>
  </si>
  <si>
    <t>TOTAL PROFIT</t>
  </si>
  <si>
    <t>$286,397</t>
  </si>
  <si>
    <t>PROFIT MARGIN</t>
  </si>
  <si>
    <t>12.5%</t>
  </si>
  <si>
    <t>TOTAL ORDERS</t>
  </si>
  <si>
    <t>9,993</t>
  </si>
  <si>
    <t>CUSTOMERS</t>
  </si>
  <si>
    <t>793</t>
  </si>
  <si>
    <t>PROFIT GROWTH</t>
  </si>
  <si>
    <t>37%  (2017 vs 2016)</t>
  </si>
  <si>
    <t>Sheets:  Overview  ·  Regional Analysis  ·  Product Analysis  ·  Customer Analysis  ·  Time Analysis</t>
  </si>
  <si>
    <t>Prepared by:  Nader Al-Shami</t>
  </si>
  <si>
    <t>Date:  2026</t>
  </si>
  <si>
    <t>OVERVIEW  —  E-Commerce Sales Performance Report  |  2014–2017</t>
  </si>
  <si>
    <t>Prepared by: Nader Al-Shami  |  9,993 Orders  |  793 Unique Customers  |  4 Regions  |  3 Product Categories</t>
  </si>
  <si>
    <t>37%</t>
  </si>
  <si>
    <t>FY 2014–2017</t>
  </si>
  <si>
    <t>Net profit all regions</t>
  </si>
  <si>
    <t>Profit / Sales</t>
  </si>
  <si>
    <t>All transactions</t>
  </si>
  <si>
    <t>Unique customers</t>
  </si>
  <si>
    <t>2017 vs 2016</t>
  </si>
  <si>
    <t xml:space="preserve">  KEY INSIGHTS</t>
  </si>
  <si>
    <t>★ TOP REGION</t>
  </si>
  <si>
    <t>West &amp; East together generate 69.8% of total profit — concentrate marketing budgets here.</t>
  </si>
  <si>
    <t>★ LOSS ALERT</t>
  </si>
  <si>
    <t>Tables sub-category loses $17,725 total — every sale costs the company $56. Immediate action required.</t>
  </si>
  <si>
    <t>★ BEST PRODUCT</t>
  </si>
  <si>
    <t>Technology leads with 17.4% profit margin vs Furniture's 2.6% — shift inventory focus accordingly.</t>
  </si>
  <si>
    <t>★ SEASONALITY</t>
  </si>
  <si>
    <t>November &amp; December peak every year — double inventory and campaigns before Q4.</t>
  </si>
  <si>
    <t>★ GROWTH</t>
  </si>
  <si>
    <t>Profit doubled from $49K (2014) to $93K (2017) — company is on a strong upward trajectory.</t>
  </si>
  <si>
    <t>★ CUSTOMERS</t>
  </si>
  <si>
    <t>Top 10 customers contribute 17.5% of total profit — build a VIP retention program.</t>
  </si>
  <si>
    <t>Region</t>
  </si>
  <si>
    <t>Profit %</t>
  </si>
  <si>
    <t>West</t>
  </si>
  <si>
    <t>East</t>
  </si>
  <si>
    <t>South</t>
  </si>
  <si>
    <t>Central</t>
  </si>
  <si>
    <t>Year</t>
  </si>
  <si>
    <t>Profit</t>
  </si>
  <si>
    <t>2014</t>
  </si>
  <si>
    <t>2015</t>
  </si>
  <si>
    <t>2016</t>
  </si>
  <si>
    <t>2017</t>
  </si>
  <si>
    <t>REGIONAL ANALYSIS  —  Profit Performance by Region &amp; State</t>
  </si>
  <si>
    <t>4 Regions  |  10 States analyzed  |  West leads with 37.86% profit share</t>
  </si>
  <si>
    <t xml:space="preserve">  PROFIT SHARE BY REGION</t>
  </si>
  <si>
    <t>Profit Share</t>
  </si>
  <si>
    <t>Insight</t>
  </si>
  <si>
    <t>37.86%</t>
  </si>
  <si>
    <t>Top performer — concentrate resources here</t>
  </si>
  <si>
    <t>31.96%</t>
  </si>
  <si>
    <t>Strong second — growing market</t>
  </si>
  <si>
    <t>16.32%</t>
  </si>
  <si>
    <t>Below average — needs attention</t>
  </si>
  <si>
    <t>13.86%</t>
  </si>
  <si>
    <t>Lowest performer — review strategy</t>
  </si>
  <si>
    <t xml:space="preserve">  TOP STATES BY PROFIT SHARE</t>
  </si>
  <si>
    <t>State</t>
  </si>
  <si>
    <t>Status</t>
  </si>
  <si>
    <t>California</t>
  </si>
  <si>
    <t>26.02%</t>
  </si>
  <si>
    <t>★ Top State</t>
  </si>
  <si>
    <t>New York</t>
  </si>
  <si>
    <t>25.22%</t>
  </si>
  <si>
    <t>Washington</t>
  </si>
  <si>
    <t>11.38%</t>
  </si>
  <si>
    <t>Strong</t>
  </si>
  <si>
    <t>Michigan</t>
  </si>
  <si>
    <t>8.33%</t>
  </si>
  <si>
    <t>Moderate</t>
  </si>
  <si>
    <t>Virginia</t>
  </si>
  <si>
    <t>6.34%</t>
  </si>
  <si>
    <t>Indiana</t>
  </si>
  <si>
    <t>6.26%</t>
  </si>
  <si>
    <t>Georgia</t>
  </si>
  <si>
    <t>5.54%</t>
  </si>
  <si>
    <t>Developing</t>
  </si>
  <si>
    <t>Kentucky</t>
  </si>
  <si>
    <t>3.82%</t>
  </si>
  <si>
    <t>Minnesota</t>
  </si>
  <si>
    <t>3.69%</t>
  </si>
  <si>
    <t>Delaware</t>
  </si>
  <si>
    <t>3.40%</t>
  </si>
  <si>
    <t xml:space="preserve">  CUSTOMERS BY REGION</t>
  </si>
  <si>
    <t>Customers</t>
  </si>
  <si>
    <t>Share</t>
  </si>
  <si>
    <t>86.4%</t>
  </si>
  <si>
    <t>84.9%</t>
  </si>
  <si>
    <t>79.3%</t>
  </si>
  <si>
    <t>64.6%</t>
  </si>
  <si>
    <t xml:space="preserve">  REGIONAL INSIGHTS</t>
  </si>
  <si>
    <t>INSIGHT</t>
  </si>
  <si>
    <t>West &amp; East combined = 69.8% of total profit. These two regions are the company's revenue engine.</t>
  </si>
  <si>
    <t>California + New York alone account for 51.2% of profit — two states drive half the business.</t>
  </si>
  <si>
    <t>South and Central are underperforming — consider targeted promotions or cost reviews in these regions.</t>
  </si>
  <si>
    <t>South has the fewest customers (512) — significant untapped growth potential with the right strategy.</t>
  </si>
  <si>
    <t>PRODUCT ANALYSIS  —  Category &amp; Sub-Category Profit Performance</t>
  </si>
  <si>
    <t>3 Categories  |  Technology leads profitability  |  Tables &amp; Bookcases are loss-making</t>
  </si>
  <si>
    <t xml:space="preserve">  PROFIT BY CATEGORY</t>
  </si>
  <si>
    <t>Category</t>
  </si>
  <si>
    <t>Total Profit</t>
  </si>
  <si>
    <t>Avg Profit/Order</t>
  </si>
  <si>
    <t>Margin</t>
  </si>
  <si>
    <t>Rank</t>
  </si>
  <si>
    <t>Technology</t>
  </si>
  <si>
    <t>17.4%</t>
  </si>
  <si>
    <t>🥇 Best</t>
  </si>
  <si>
    <t>Office Supplies</t>
  </si>
  <si>
    <t>16.8%</t>
  </si>
  <si>
    <t>🥈 Good</t>
  </si>
  <si>
    <t>Furniture</t>
  </si>
  <si>
    <t>2.6%</t>
  </si>
  <si>
    <t>🥉 Poor</t>
  </si>
  <si>
    <t xml:space="preserve">  FURNITURE SUB-CATEGORY — PROFIT BREAKDOWN</t>
  </si>
  <si>
    <t>Sub-Category</t>
  </si>
  <si>
    <t>Avg Profit</t>
  </si>
  <si>
    <t>Total Loss/Profit</t>
  </si>
  <si>
    <t>Action</t>
  </si>
  <si>
    <t>Tables</t>
  </si>
  <si>
    <t>🔴 LOSS</t>
  </si>
  <si>
    <t>Discontinue or reprice immediately</t>
  </si>
  <si>
    <t>Bookcases</t>
  </si>
  <si>
    <t>Review pricing strategy</t>
  </si>
  <si>
    <t>Furnishings</t>
  </si>
  <si>
    <t>🟡 WEAK</t>
  </si>
  <si>
    <t>Monitor margins</t>
  </si>
  <si>
    <t>Chairs</t>
  </si>
  <si>
    <t>🟢 PROFIT</t>
  </si>
  <si>
    <t>Expand inventory</t>
  </si>
  <si>
    <t>⚠  CRITICAL: Tables sub-category has generated a total loss of  -$17,725  over 4 years</t>
  </si>
  <si>
    <t xml:space="preserve">  TOP 10 SUB-CATEGORIES BY PROFIT</t>
  </si>
  <si>
    <t>Margin Tier</t>
  </si>
  <si>
    <t>Recommendation</t>
  </si>
  <si>
    <t>Copiers</t>
  </si>
  <si>
    <t>High</t>
  </si>
  <si>
    <t>★ Priority — highest margin</t>
  </si>
  <si>
    <t>Phones</t>
  </si>
  <si>
    <t>★ Expand</t>
  </si>
  <si>
    <t>Accessories</t>
  </si>
  <si>
    <t>Binders</t>
  </si>
  <si>
    <t>Medium</t>
  </si>
  <si>
    <t>Maintain</t>
  </si>
  <si>
    <t>Paper</t>
  </si>
  <si>
    <t>Storage</t>
  </si>
  <si>
    <t>Monitor</t>
  </si>
  <si>
    <t>Appliances</t>
  </si>
  <si>
    <t>Low</t>
  </si>
  <si>
    <t>Review</t>
  </si>
  <si>
    <t>Envelopes</t>
  </si>
  <si>
    <t>CUSTOMER ANALYSIS  —  Top Customers &amp; Revenue Concentration</t>
  </si>
  <si>
    <t>793 unique customers  |  Top 10 customers = 17.5% of profit  |  South region most underdeveloped</t>
  </si>
  <si>
    <t xml:space="preserve">  TOP 10 CUSTOMERS BY PROFIT</t>
  </si>
  <si>
    <t>Customer Name</t>
  </si>
  <si>
    <t>Priority</t>
  </si>
  <si>
    <t>Tamara Chand</t>
  </si>
  <si>
    <t>#1</t>
  </si>
  <si>
    <t>🔴 VIP — Protect at all costs</t>
  </si>
  <si>
    <t>Raymond Buch</t>
  </si>
  <si>
    <t>#2</t>
  </si>
  <si>
    <t>🔴 VIP</t>
  </si>
  <si>
    <t>Hunter Lopez</t>
  </si>
  <si>
    <t>#3</t>
  </si>
  <si>
    <t>Sanjit Chand</t>
  </si>
  <si>
    <t>#4</t>
  </si>
  <si>
    <t>🟠 High Value</t>
  </si>
  <si>
    <t>Adrian Barton</t>
  </si>
  <si>
    <t>#5</t>
  </si>
  <si>
    <t>Tom Ashbrook</t>
  </si>
  <si>
    <t>#6</t>
  </si>
  <si>
    <t>🟡 Important</t>
  </si>
  <si>
    <t>Christopher Martinez</t>
  </si>
  <si>
    <t>#7</t>
  </si>
  <si>
    <t>Keith Dawkins</t>
  </si>
  <si>
    <t>#8</t>
  </si>
  <si>
    <t>Andy Reiter</t>
  </si>
  <si>
    <t>#9</t>
  </si>
  <si>
    <t>🟢 Retain</t>
  </si>
  <si>
    <t>Daniel Raglin</t>
  </si>
  <si>
    <t>#10</t>
  </si>
  <si>
    <t>Top 10 customers total:  $50,178  =  17.5% of company profit  →  Build VIP Retention Program</t>
  </si>
  <si>
    <t>% of Total</t>
  </si>
  <si>
    <t>Growth Opportunity</t>
  </si>
  <si>
    <t>Saturated — focus on retention</t>
  </si>
  <si>
    <t>Strong — maintain engagement</t>
  </si>
  <si>
    <t>Moderate — room to grow</t>
  </si>
  <si>
    <t>★ Highest growth potential</t>
  </si>
  <si>
    <t>Customer</t>
  </si>
  <si>
    <t>Tamara</t>
  </si>
  <si>
    <t>Raymond</t>
  </si>
  <si>
    <t>Hunter</t>
  </si>
  <si>
    <t>Sanjit</t>
  </si>
  <si>
    <t>Adrian</t>
  </si>
  <si>
    <t>Tom</t>
  </si>
  <si>
    <t>Christopher</t>
  </si>
  <si>
    <t>Keith</t>
  </si>
  <si>
    <t>Andy</t>
  </si>
  <si>
    <t>Daniel</t>
  </si>
  <si>
    <t>TIME ANALYSIS  —  Yearly &amp; Monthly Profit Trends  |  2014–2017</t>
  </si>
  <si>
    <t>Profit grew 37% in 2017  |  Q4 (Nov/Dec) peaks every year  |  July historically weak</t>
  </si>
  <si>
    <t xml:space="preserve">  ANNUAL PROFIT SUMMARY</t>
  </si>
  <si>
    <t>YoY Growth</t>
  </si>
  <si>
    <t>vs 2014</t>
  </si>
  <si>
    <t>Performance</t>
  </si>
  <si>
    <t>—</t>
  </si>
  <si>
    <t>Baseline</t>
  </si>
  <si>
    <t>Starting year</t>
  </si>
  <si>
    <t>+24%</t>
  </si>
  <si>
    <t>📈 Growing</t>
  </si>
  <si>
    <t>+34%</t>
  </si>
  <si>
    <t>+66%</t>
  </si>
  <si>
    <t>📈 Strong growth</t>
  </si>
  <si>
    <t>+14%</t>
  </si>
  <si>
    <t>+89%</t>
  </si>
  <si>
    <t>🚀 Best year</t>
  </si>
  <si>
    <t xml:space="preserve">  BEST MONTHS — ALL YEARS COMBINED</t>
  </si>
  <si>
    <t>Month</t>
  </si>
  <si>
    <t>Best Year</t>
  </si>
  <si>
    <t>Season</t>
  </si>
  <si>
    <t>November</t>
  </si>
  <si>
    <t>$12,475</t>
  </si>
  <si>
    <t>🎄 Holiday</t>
  </si>
  <si>
    <t>Double inventory &amp; campaigns</t>
  </si>
  <si>
    <t>December</t>
  </si>
  <si>
    <t>$17,885</t>
  </si>
  <si>
    <t>Peak season — maximize stock</t>
  </si>
  <si>
    <t>March</t>
  </si>
  <si>
    <t>$14,752</t>
  </si>
  <si>
    <t>🌱 Spring</t>
  </si>
  <si>
    <t>New trend emerging in 2017</t>
  </si>
  <si>
    <t>September</t>
  </si>
  <si>
    <t>$10,992</t>
  </si>
  <si>
    <t>📚 Back to School</t>
  </si>
  <si>
    <t>Consistent performer</t>
  </si>
  <si>
    <t>October</t>
  </si>
  <si>
    <t>$16,243</t>
  </si>
  <si>
    <t>🍂 Pre-Holiday</t>
  </si>
  <si>
    <t>Strong pre-holiday demand</t>
  </si>
  <si>
    <t>⚠  July historically shows losses or very low profit — minimize inventory and reduce fixed costs in July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</si>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</sst>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\$#,##0"/>
  </numFmts>
  <fonts count="28" x14ac:knownFonts="1">
    <font>
      <sz val="11"/>
      <color theme="1"/>
      <name val="Calibri"/>
      <family val="2"/>
      <scheme val="minor"/>
    </font>
    <font>
      <b/>
      <sz val="30"/>
      <color rgb="FFFFFFFF"/>
      <name val="Calibri"/>
      <family val="2"/>
    </font>
    <font>
      <i/>
      <sz val="22"/>
      <color rgb="FF9DC3E6"/>
      <name val="Calibri"/>
      <family val="2"/>
    </font>
    <font>
      <sz val="10"/>
      <color rgb="FFAAAAAA"/>
      <name val="Calibri"/>
      <family val="2"/>
    </font>
    <font>
      <i/>
      <sz val="9"/>
      <color rgb="FF888888"/>
      <name val="Calibri"/>
      <family val="2"/>
    </font>
    <font>
      <b/>
      <sz val="13"/>
      <color rgb="FFFFFFFF"/>
      <name val="Calibri"/>
      <family val="2"/>
    </font>
    <font>
      <b/>
      <sz val="14"/>
      <color rgb="FFFFFFFF"/>
      <name val="Calibri"/>
      <family val="2"/>
    </font>
    <font>
      <sz val="9"/>
      <color rgb="FF9DC3E6"/>
      <name val="Calibri"/>
      <family val="2"/>
    </font>
    <font>
      <i/>
      <sz val="8"/>
      <color rgb="FF888888"/>
      <name val="Calibri"/>
      <family val="2"/>
    </font>
    <font>
      <b/>
      <sz val="10"/>
      <color rgb="FFFFFFFF"/>
      <name val="Calibri"/>
      <family val="2"/>
    </font>
    <font>
      <sz val="9"/>
      <color rgb="FF888888"/>
      <name val="Calibri"/>
      <family val="2"/>
    </font>
    <font>
      <i/>
      <sz val="9"/>
      <color rgb="FF566573"/>
      <name val="Calibri"/>
      <family val="2"/>
    </font>
    <font>
      <b/>
      <sz val="8"/>
      <color rgb="FFFFFFFF"/>
      <name val="Calibri"/>
      <family val="2"/>
    </font>
    <font>
      <b/>
      <sz val="18"/>
      <color rgb="FFFFFFFF"/>
      <name val="Calibri"/>
      <family val="2"/>
    </font>
    <font>
      <i/>
      <sz val="8"/>
      <color rgb="FFFFFFFF"/>
      <name val="Calibri"/>
      <family val="2"/>
    </font>
    <font>
      <b/>
      <sz val="11"/>
      <color rgb="FFFFFFFF"/>
      <name val="Calibri"/>
      <family val="2"/>
    </font>
    <font>
      <b/>
      <sz val="7"/>
      <color rgb="FFFFFFFF"/>
      <name val="Calibri"/>
      <family val="2"/>
    </font>
    <font>
      <sz val="9"/>
      <color rgb="FF2C3E50"/>
      <name val="Calibri"/>
      <family val="2"/>
    </font>
    <font>
      <b/>
      <sz val="9"/>
      <color rgb="FFFFFFFF"/>
      <name val="Calibri"/>
      <family val="2"/>
    </font>
    <font>
      <b/>
      <sz val="10"/>
      <color rgb="FF2C3E50"/>
      <name val="Calibri"/>
      <family val="2"/>
    </font>
    <font>
      <b/>
      <sz val="10"/>
      <color rgb="FF1E8449"/>
      <name val="Calibri"/>
      <family val="2"/>
    </font>
    <font>
      <sz val="9"/>
      <color rgb="FF566573"/>
      <name val="Calibri"/>
      <family val="2"/>
    </font>
    <font>
      <b/>
      <sz val="10"/>
      <color rgb="FFC0392B"/>
      <name val="Calibri"/>
      <family val="2"/>
    </font>
    <font>
      <sz val="10"/>
      <color rgb="FF2C3E50"/>
      <name val="Calibri"/>
      <family val="2"/>
    </font>
    <font>
      <sz val="9"/>
      <color rgb="FF1E8449"/>
      <name val="Calibri"/>
      <family val="2"/>
    </font>
    <font>
      <sz val="10"/>
      <color rgb="FF1E8449"/>
      <name val="Calibri"/>
      <family val="2"/>
    </font>
    <font>
      <sz val="10"/>
      <color rgb="FFD4AC0D"/>
      <name val="Calibri"/>
      <family val="2"/>
    </font>
    <font>
      <sz val="10"/>
      <color rgb="FF566573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D1F3C"/>
      </patternFill>
    </fill>
    <fill>
      <patternFill patternType="solid">
        <fgColor rgb="FF2E75B6"/>
      </patternFill>
    </fill>
    <fill>
      <patternFill patternType="solid">
        <fgColor rgb="FFF7F9FC"/>
      </patternFill>
    </fill>
    <fill>
      <patternFill patternType="solid">
        <fgColor rgb="FF1B4F8A"/>
      </patternFill>
    </fill>
    <fill>
      <patternFill patternType="solid">
        <fgColor rgb="FF1E8449"/>
      </patternFill>
    </fill>
    <fill>
      <patternFill patternType="solid">
        <fgColor rgb="FF117A65"/>
      </patternFill>
    </fill>
    <fill>
      <patternFill patternType="solid">
        <fgColor rgb="FF6C3483"/>
      </patternFill>
    </fill>
    <fill>
      <patternFill patternType="solid">
        <fgColor rgb="FFC0392B"/>
      </patternFill>
    </fill>
    <fill>
      <patternFill patternType="solid">
        <fgColor rgb="FFD4AC0D"/>
      </patternFill>
    </fill>
    <fill>
      <patternFill patternType="solid">
        <fgColor rgb="FFEEF2F6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</fills>
  <borders count="12">
    <border>
      <left/>
      <right/>
      <top/>
      <bottom/>
      <diagonal/>
    </border>
    <border>
      <left style="medium">
        <color rgb="FF0D1F3C"/>
      </left>
      <right style="medium">
        <color rgb="FF0D1F3C"/>
      </right>
      <top style="medium">
        <color rgb="FF0D1F3C"/>
      </top>
      <bottom style="medium">
        <color rgb="FF0D1F3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4F8A"/>
      </left>
      <right style="medium">
        <color rgb="FF1B4F8A"/>
      </right>
      <top style="medium">
        <color rgb="FF1B4F8A"/>
      </top>
      <bottom style="medium">
        <color rgb="FF1B4F8A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3" borderId="0" xfId="0" applyFill="1"/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6" fillId="5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left" vertical="center"/>
    </xf>
    <xf numFmtId="0" fontId="19" fillId="14" borderId="2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left" vertical="center"/>
    </xf>
    <xf numFmtId="0" fontId="19" fillId="15" borderId="2" xfId="0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left" vertical="center"/>
    </xf>
    <xf numFmtId="0" fontId="23" fillId="13" borderId="2" xfId="0" applyFont="1" applyFill="1" applyBorder="1" applyAlignment="1">
      <alignment horizontal="left" vertical="center"/>
    </xf>
    <xf numFmtId="0" fontId="19" fillId="13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/>
    </xf>
    <xf numFmtId="0" fontId="23" fillId="11" borderId="2" xfId="0" applyFont="1" applyFill="1" applyBorder="1" applyAlignment="1">
      <alignment horizontal="left" vertical="center"/>
    </xf>
    <xf numFmtId="0" fontId="23" fillId="11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left" vertical="center"/>
    </xf>
    <xf numFmtId="0" fontId="23" fillId="12" borderId="2" xfId="0" applyFont="1" applyFill="1" applyBorder="1" applyAlignment="1">
      <alignment horizontal="left" vertical="center"/>
    </xf>
    <xf numFmtId="0" fontId="23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/>
    </xf>
    <xf numFmtId="0" fontId="23" fillId="13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164" fontId="19" fillId="13" borderId="2" xfId="0" applyNumberFormat="1" applyFont="1" applyFill="1" applyBorder="1" applyAlignment="1">
      <alignment horizontal="center" vertical="center"/>
    </xf>
    <xf numFmtId="164" fontId="23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left" vertical="center"/>
    </xf>
    <xf numFmtId="164" fontId="19" fillId="14" borderId="2" xfId="0" applyNumberFormat="1" applyFont="1" applyFill="1" applyBorder="1" applyAlignment="1">
      <alignment horizontal="center" vertical="center"/>
    </xf>
    <xf numFmtId="164" fontId="23" fillId="14" borderId="2" xfId="0" applyNumberFormat="1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left" vertical="center"/>
    </xf>
    <xf numFmtId="164" fontId="19" fillId="15" borderId="2" xfId="0" applyNumberFormat="1" applyFont="1" applyFill="1" applyBorder="1" applyAlignment="1">
      <alignment horizontal="center" vertical="center"/>
    </xf>
    <xf numFmtId="164" fontId="23" fillId="15" borderId="2" xfId="0" applyNumberFormat="1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 wrapText="1"/>
    </xf>
    <xf numFmtId="164" fontId="22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164" fontId="20" fillId="14" borderId="2" xfId="0" applyNumberFormat="1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164" fontId="20" fillId="13" borderId="2" xfId="0" applyNumberFormat="1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left" vertical="center"/>
    </xf>
    <xf numFmtId="0" fontId="26" fillId="14" borderId="2" xfId="0" applyFont="1" applyFill="1" applyBorder="1" applyAlignment="1">
      <alignment horizontal="center" vertical="center"/>
    </xf>
    <xf numFmtId="164" fontId="19" fillId="11" borderId="2" xfId="0" applyNumberFormat="1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left" vertical="center"/>
    </xf>
    <xf numFmtId="0" fontId="19" fillId="12" borderId="2" xfId="0" applyFont="1" applyFill="1" applyBorder="1" applyAlignment="1">
      <alignment horizontal="left" vertical="center"/>
    </xf>
    <xf numFmtId="0" fontId="24" fillId="12" borderId="2" xfId="0" applyFont="1" applyFill="1" applyBorder="1" applyAlignment="1">
      <alignment horizontal="left" vertical="center"/>
    </xf>
    <xf numFmtId="0" fontId="25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left" vertical="center"/>
    </xf>
    <xf numFmtId="164" fontId="19" fillId="12" borderId="2" xfId="0" applyNumberFormat="1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7" fillId="11" borderId="2" xfId="0" applyFont="1" applyFill="1" applyBorder="1" applyAlignment="1">
      <alignment horizontal="left" vertical="center" indent="1"/>
    </xf>
    <xf numFmtId="0" fontId="0" fillId="8" borderId="0" xfId="0" applyFill="1"/>
    <xf numFmtId="0" fontId="0" fillId="7" borderId="0" xfId="0" applyFill="1"/>
    <xf numFmtId="0" fontId="13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2"/>
    </xf>
    <xf numFmtId="0" fontId="14" fillId="5" borderId="0" xfId="0" applyFont="1" applyFill="1" applyAlignment="1">
      <alignment horizontal="center" vertical="top"/>
    </xf>
    <xf numFmtId="0" fontId="14" fillId="8" borderId="0" xfId="0" applyFont="1" applyFill="1" applyAlignment="1">
      <alignment horizontal="center" vertical="top"/>
    </xf>
    <xf numFmtId="0" fontId="14" fillId="9" borderId="0" xfId="0" applyFont="1" applyFill="1" applyAlignment="1">
      <alignment horizontal="center" vertical="top"/>
    </xf>
    <xf numFmtId="0" fontId="13" fillId="8" borderId="0" xfId="0" applyFont="1" applyFill="1" applyAlignment="1">
      <alignment horizontal="center" vertical="center"/>
    </xf>
    <xf numFmtId="0" fontId="17" fillId="12" borderId="2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0" fillId="10" borderId="0" xfId="0" applyFill="1"/>
    <xf numFmtId="0" fontId="11" fillId="4" borderId="0" xfId="0" applyFont="1" applyFill="1" applyAlignment="1">
      <alignment horizontal="left" vertical="center" indent="2"/>
    </xf>
    <xf numFmtId="0" fontId="12" fillId="5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0" fillId="9" borderId="0" xfId="0" applyFill="1"/>
    <xf numFmtId="0" fontId="0" fillId="5" borderId="0" xfId="0" applyFill="1"/>
    <xf numFmtId="0" fontId="0" fillId="6" borderId="0" xfId="0" applyFill="1"/>
    <xf numFmtId="0" fontId="14" fillId="10" borderId="0" xfId="0" applyFont="1" applyFill="1" applyAlignment="1">
      <alignment horizontal="center" vertical="top"/>
    </xf>
    <xf numFmtId="0" fontId="14" fillId="6" borderId="0" xfId="0" applyFont="1" applyFill="1" applyAlignment="1">
      <alignment horizontal="center" vertical="top"/>
    </xf>
    <xf numFmtId="0" fontId="14" fillId="7" borderId="0" xfId="0" applyFont="1" applyFill="1" applyAlignment="1">
      <alignment horizontal="center" vertical="top"/>
    </xf>
    <xf numFmtId="0" fontId="15" fillId="2" borderId="1" xfId="0" applyFont="1" applyFill="1" applyBorder="1" applyAlignment="1">
      <alignment horizontal="left" vertical="center" indent="1"/>
    </xf>
    <xf numFmtId="0" fontId="13" fillId="10" borderId="0" xfId="0" applyFont="1" applyFill="1" applyAlignment="1">
      <alignment horizontal="center" vertical="center"/>
    </xf>
    <xf numFmtId="0" fontId="15" fillId="5" borderId="3" xfId="0" applyFont="1" applyFill="1" applyBorder="1" applyAlignment="1">
      <alignment horizontal="left" vertical="center" indent="1"/>
    </xf>
    <xf numFmtId="0" fontId="17" fillId="12" borderId="2" xfId="0" applyFont="1" applyFill="1" applyBorder="1" applyAlignment="1">
      <alignment horizontal="left" vertical="center" wrapText="1" indent="1"/>
    </xf>
    <xf numFmtId="0" fontId="17" fillId="11" borderId="2" xfId="0" applyFont="1" applyFill="1" applyBorder="1" applyAlignment="1">
      <alignment horizontal="left" vertical="center" wrapText="1" indent="1"/>
    </xf>
    <xf numFmtId="0" fontId="15" fillId="9" borderId="5" xfId="0" applyFont="1" applyFill="1" applyBorder="1" applyAlignment="1">
      <alignment horizontal="left" vertical="center" indent="1"/>
    </xf>
    <xf numFmtId="0" fontId="9" fillId="9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6" fontId="23" fillId="13" borderId="2" xfId="0" applyNumberFormat="1" applyFont="1" applyFill="1" applyBorder="1" applyAlignment="1">
      <alignment horizontal="center" vertical="center"/>
    </xf>
    <xf numFmtId="6" fontId="23" fillId="15" borderId="2" xfId="0" applyNumberFormat="1" applyFont="1" applyFill="1" applyBorder="1" applyAlignment="1">
      <alignment horizontal="center" vertical="center"/>
    </xf>
    <xf numFmtId="6" fontId="23" fillId="1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Share by Region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Overview!$B$20</c:f>
              <c:strCache>
                <c:ptCount val="1"/>
                <c:pt idx="0">
                  <c:v>Profit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Overview!$A$21:$A$24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Overview!$B$21:$B$24</c:f>
              <c:numCache>
                <c:formatCode>General</c:formatCode>
                <c:ptCount val="4"/>
                <c:pt idx="0">
                  <c:v>0.37859999999999999</c:v>
                </c:pt>
                <c:pt idx="1">
                  <c:v>0.3196</c:v>
                </c:pt>
                <c:pt idx="2">
                  <c:v>0.16320000000000001</c:v>
                </c:pt>
                <c:pt idx="3">
                  <c:v>0.1386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6-4F07-8980-1EE55E71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Growth 2014–2017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Overview!$B$28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Overview!$A$29:$A$32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Overview!$B$29:$B$32</c:f>
              <c:numCache>
                <c:formatCode>General</c:formatCode>
                <c:ptCount val="4"/>
                <c:pt idx="0">
                  <c:v>49544</c:v>
                </c:pt>
                <c:pt idx="1">
                  <c:v>61386</c:v>
                </c:pt>
                <c:pt idx="2">
                  <c:v>82024</c:v>
                </c:pt>
                <c:pt idx="3">
                  <c:v>93440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4A-4F63-9BF9-40F599B2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Profit Share by Region</a:t>
            </a:r>
          </a:p>
        </c:rich>
      </c:tx>
      <c:layout>
        <c:manualLayout>
          <c:xMode val="edge"/>
          <c:yMode val="edge"/>
          <c:x val="0.37346607142857136"/>
          <c:y val="6.107604448452058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'Regional Analysis'!$B$42</c:f>
              <c:strCache>
                <c:ptCount val="1"/>
                <c:pt idx="0">
                  <c:v>Profit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'Regional Analysis'!$A$43:$A$46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'Regional Analysis'!$B$43:$B$46</c:f>
              <c:numCache>
                <c:formatCode>General</c:formatCode>
                <c:ptCount val="4"/>
                <c:pt idx="0">
                  <c:v>0.37859999999999999</c:v>
                </c:pt>
                <c:pt idx="1">
                  <c:v>0.3196</c:v>
                </c:pt>
                <c:pt idx="2">
                  <c:v>0.16320000000000001</c:v>
                </c:pt>
                <c:pt idx="3">
                  <c:v>0.1386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3-45E9-9EE1-FB012A12D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Customer Distribution by Region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2926805555555554"/>
          <c:y val="0.13841317942276893"/>
          <c:w val="0.75028356481481484"/>
          <c:h val="0.86158682057723113"/>
        </c:manualLayout>
      </c:layout>
      <c:pieChart>
        <c:varyColors val="1"/>
        <c:ser>
          <c:idx val="0"/>
          <c:order val="0"/>
          <c:tx>
            <c:strRef>
              <c:f>'Regional Analysis'!$B$48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'Regional Analysis'!$A$49:$A$52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Analysis'!$B$49:$B$52</c:f>
              <c:numCache>
                <c:formatCode>General</c:formatCode>
                <c:ptCount val="4"/>
                <c:pt idx="0">
                  <c:v>686</c:v>
                </c:pt>
                <c:pt idx="1">
                  <c:v>674</c:v>
                </c:pt>
                <c:pt idx="2">
                  <c:v>629</c:v>
                </c:pt>
                <c:pt idx="3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C-446A-9099-CC78154F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4576365740740744"/>
          <c:y val="0.13547135645660319"/>
          <c:w val="0.13659745370370371"/>
          <c:h val="0.292281257124246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Profit by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Analysis'!$B$36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Analysis'!$A$37:$A$39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'Product Analysis'!$B$37:$B$39</c:f>
              <c:numCache>
                <c:formatCode>General</c:formatCode>
                <c:ptCount val="3"/>
                <c:pt idx="0">
                  <c:v>145455</c:v>
                </c:pt>
                <c:pt idx="1">
                  <c:v>122491</c:v>
                </c:pt>
                <c:pt idx="2">
                  <c:v>18451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D-4C9E-AD76-AB48480C6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Furniture: Avg Profit per Order</a:t>
            </a:r>
          </a:p>
        </c:rich>
      </c:tx>
      <c:layout>
        <c:manualLayout>
          <c:xMode val="edge"/>
          <c:yMode val="edge"/>
          <c:x val="0.3139789682539682"/>
          <c:y val="2.116666666666666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Analysis'!$B$42</c:f>
              <c:strCache>
                <c:ptCount val="1"/>
                <c:pt idx="0">
                  <c:v>Avg Profit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'Product Analysis'!$A$43:$A$46</c:f>
              <c:strCache>
                <c:ptCount val="4"/>
                <c:pt idx="0">
                  <c:v>Tables</c:v>
                </c:pt>
                <c:pt idx="1">
                  <c:v>Bookcases</c:v>
                </c:pt>
                <c:pt idx="2">
                  <c:v>Furnishings</c:v>
                </c:pt>
                <c:pt idx="3">
                  <c:v>Chairs</c:v>
                </c:pt>
              </c:strCache>
            </c:strRef>
          </c:cat>
          <c:val>
            <c:numRef>
              <c:f>'Product Analysis'!$B$43:$B$46</c:f>
              <c:numCache>
                <c:formatCode>General</c:formatCode>
                <c:ptCount val="4"/>
                <c:pt idx="0">
                  <c:v>-56</c:v>
                </c:pt>
                <c:pt idx="1">
                  <c:v>-15</c:v>
                </c:pt>
                <c:pt idx="2">
                  <c:v>14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A-4C19-B2FE-B0048B7C4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Customers by Profit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'Customer Analysis'!$B$28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 Analysis'!$A$29:$A$38</c:f>
              <c:strCache>
                <c:ptCount val="10"/>
                <c:pt idx="0">
                  <c:v>Tamara</c:v>
                </c:pt>
                <c:pt idx="1">
                  <c:v>Raymond</c:v>
                </c:pt>
                <c:pt idx="2">
                  <c:v>Hunter</c:v>
                </c:pt>
                <c:pt idx="3">
                  <c:v>Sanjit</c:v>
                </c:pt>
                <c:pt idx="4">
                  <c:v>Adrian</c:v>
                </c:pt>
                <c:pt idx="5">
                  <c:v>Tom</c:v>
                </c:pt>
                <c:pt idx="6">
                  <c:v>Christopher</c:v>
                </c:pt>
                <c:pt idx="7">
                  <c:v>Keith</c:v>
                </c:pt>
                <c:pt idx="8">
                  <c:v>Andy</c:v>
                </c:pt>
                <c:pt idx="9">
                  <c:v>Daniel</c:v>
                </c:pt>
              </c:strCache>
            </c:strRef>
          </c:cat>
          <c:val>
            <c:numRef>
              <c:f>'Customer Analysis'!$B$29:$B$38</c:f>
              <c:numCache>
                <c:formatCode>General</c:formatCode>
                <c:ptCount val="10"/>
                <c:pt idx="0">
                  <c:v>8981</c:v>
                </c:pt>
                <c:pt idx="1">
                  <c:v>6976</c:v>
                </c:pt>
                <c:pt idx="2">
                  <c:v>5622</c:v>
                </c:pt>
                <c:pt idx="3">
                  <c:v>5757</c:v>
                </c:pt>
                <c:pt idx="4">
                  <c:v>5445</c:v>
                </c:pt>
                <c:pt idx="5">
                  <c:v>4704</c:v>
                </c:pt>
                <c:pt idx="6">
                  <c:v>3900</c:v>
                </c:pt>
                <c:pt idx="7">
                  <c:v>3039</c:v>
                </c:pt>
                <c:pt idx="8">
                  <c:v>2885</c:v>
                </c:pt>
                <c:pt idx="9">
                  <c:v>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E-4A07-BDBD-006974B46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Annual Profit Growth 2014–2017</a:t>
            </a:r>
          </a:p>
        </c:rich>
      </c:tx>
      <c:layout>
        <c:manualLayout>
          <c:xMode val="edge"/>
          <c:yMode val="edge"/>
          <c:x val="0.32054635416666671"/>
          <c:y val="4.938888888888889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'Time Analysis'!$B$25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'Time Analysis'!$A$26:$A$29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'Time Analysis'!$B$26:$B$29</c:f>
              <c:numCache>
                <c:formatCode>General</c:formatCode>
                <c:ptCount val="4"/>
                <c:pt idx="0">
                  <c:v>49544</c:v>
                </c:pt>
                <c:pt idx="1">
                  <c:v>61386</c:v>
                </c:pt>
                <c:pt idx="2">
                  <c:v>82024</c:v>
                </c:pt>
                <c:pt idx="3">
                  <c:v>93440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7D-4222-BD83-8F453EB27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  <cx:data id="1">
      <cx:strDim type="cat">
        <cx:f>_xlchart.0</cx:f>
      </cx:strDim>
      <cx:numDim type="val">
        <cx:f>_xlchart.4</cx:f>
      </cx:numDim>
    </cx:data>
    <cx:data id="2">
      <cx:strDim type="cat">
        <cx:f>_xlchart.0</cx:f>
      </cx:strDim>
      <cx:numDim type="val">
        <cx:f>_xlchart.6</cx:f>
      </cx:numDim>
    </cx:data>
    <cx:data id="3">
      <cx:strDim type="cat">
        <cx:f>_xlchart.0</cx:f>
      </cx:strDim>
      <cx:numDim type="val">
        <cx:f>_xlchart.8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</a:rPr>
              <a:t>Monthly Profit Trends by Year</a:t>
            </a:r>
          </a:p>
        </cx:rich>
      </cx:tx>
    </cx:title>
    <cx:plotArea>
      <cx:plotAreaRegion>
        <cx:series layoutId="waterfall" uniqueId="{73DBDDCE-2A5C-42BA-9376-3C11BA13543E}" formatIdx="0">
          <cx:tx>
            <cx:txData>
              <cx:f>_xlchart.1</cx:f>
              <cx:v>2014</cx:v>
            </cx:txData>
          </cx:tx>
          <cx:dataId val="0"/>
          <cx:layoutPr>
            <cx:subtotals/>
          </cx:layoutPr>
        </cx:series>
        <cx:series layoutId="waterfall" hidden="1" uniqueId="{6B128F01-24D8-44EA-8E6B-153213F40742}" formatIdx="1">
          <cx:tx>
            <cx:txData>
              <cx:f>_xlchart.3</cx:f>
              <cx:v>2015</cx:v>
            </cx:txData>
          </cx:tx>
          <cx:dataId val="1"/>
          <cx:layoutPr>
            <cx:subtotals/>
          </cx:layoutPr>
        </cx:series>
        <cx:series layoutId="waterfall" hidden="1" uniqueId="{35502948-1BEC-4E3D-9AC0-72BEAA7B29D3}" formatIdx="2">
          <cx:tx>
            <cx:txData>
              <cx:f>_xlchart.5</cx:f>
              <cx:v>2016</cx:v>
            </cx:txData>
          </cx:tx>
          <cx:dataId val="2"/>
          <cx:layoutPr>
            <cx:subtotals/>
          </cx:layoutPr>
        </cx:series>
        <cx:series layoutId="waterfall" hidden="1" uniqueId="{1C282C4B-9A14-4DB2-A7A4-A31CEB5B53F5}" formatIdx="3">
          <cx:tx>
            <cx:txData>
              <cx:f>_xlchart.7</cx:f>
              <cx:v>2017</cx:v>
            </cx:txData>
          </cx:tx>
          <cx:dataId val="3"/>
          <cx:layoutPr>
            <cx:subtotals/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50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0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47625</xdr:rowOff>
    </xdr:from>
    <xdr:ext cx="5040000" cy="37428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457200</xdr:colOff>
      <xdr:row>18</xdr:row>
      <xdr:rowOff>104775</xdr:rowOff>
    </xdr:from>
    <xdr:ext cx="4320000" cy="383812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1924050</xdr:colOff>
      <xdr:row>19</xdr:row>
      <xdr:rowOff>9525</xdr:rowOff>
    </xdr:from>
    <xdr:ext cx="50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76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7200000" cy="4320000"/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showGridLines="0" tabSelected="1" topLeftCell="A4" workbookViewId="0">
      <selection activeCell="E11" sqref="E11:H11"/>
    </sheetView>
  </sheetViews>
  <sheetFormatPr defaultRowHeight="15" x14ac:dyDescent="0.25"/>
  <cols>
    <col min="1" max="1" width="3" customWidth="1"/>
    <col min="2" max="3" width="28" customWidth="1"/>
    <col min="4" max="4" width="5" customWidth="1"/>
    <col min="5" max="6" width="18" customWidth="1"/>
    <col min="7" max="7" width="5" customWidth="1"/>
    <col min="8" max="8" width="20" customWidth="1"/>
    <col min="9" max="9" width="5" customWidth="1"/>
  </cols>
  <sheetData>
    <row r="1" spans="1:11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74" t="s">
        <v>0</v>
      </c>
      <c r="C3" s="68"/>
      <c r="D3" s="68"/>
      <c r="E3" s="68"/>
      <c r="F3" s="68"/>
      <c r="G3" s="68"/>
      <c r="H3" s="68"/>
      <c r="I3" s="1"/>
      <c r="J3" s="1"/>
      <c r="K3" s="1"/>
    </row>
    <row r="4" spans="1:11" ht="18" customHeight="1" x14ac:dyDescent="0.25">
      <c r="A4" s="1"/>
      <c r="B4" s="72" t="s">
        <v>1</v>
      </c>
      <c r="C4" s="68"/>
      <c r="D4" s="68"/>
      <c r="E4" s="68"/>
      <c r="F4" s="68"/>
      <c r="G4" s="68"/>
      <c r="H4" s="68"/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" customHeight="1" x14ac:dyDescent="0.25">
      <c r="A6" s="1"/>
      <c r="B6" s="2"/>
      <c r="C6" s="2"/>
      <c r="D6" s="2"/>
      <c r="E6" s="2"/>
      <c r="F6" s="2"/>
      <c r="G6" s="2"/>
      <c r="H6" s="2"/>
      <c r="I6" s="1"/>
      <c r="J6" s="1"/>
      <c r="K6" s="1"/>
    </row>
    <row r="7" spans="1:11" ht="18" customHeight="1" x14ac:dyDescent="0.25">
      <c r="A7" s="1"/>
      <c r="B7" s="73" t="s">
        <v>2</v>
      </c>
      <c r="C7" s="68"/>
      <c r="D7" s="68"/>
      <c r="E7" s="68"/>
      <c r="F7" s="68"/>
      <c r="G7" s="68"/>
      <c r="H7" s="68"/>
      <c r="I7" s="1"/>
      <c r="J7" s="1"/>
      <c r="K7" s="1"/>
    </row>
    <row r="8" spans="1:11" ht="18" customHeight="1" x14ac:dyDescent="0.25">
      <c r="A8" s="1"/>
      <c r="B8" s="67" t="s">
        <v>3</v>
      </c>
      <c r="C8" s="68"/>
      <c r="D8" s="68"/>
      <c r="E8" s="68"/>
      <c r="F8" s="68"/>
      <c r="G8" s="68"/>
      <c r="H8" s="68"/>
      <c r="I8" s="1"/>
      <c r="J8" s="1"/>
      <c r="K8" s="1"/>
    </row>
    <row r="9" spans="1:11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" customHeight="1" x14ac:dyDescent="0.25">
      <c r="A11" s="1"/>
      <c r="B11" s="3" t="s">
        <v>4</v>
      </c>
      <c r="C11" s="4" t="s">
        <v>5</v>
      </c>
      <c r="D11" s="1"/>
      <c r="E11" s="70"/>
      <c r="F11" s="68"/>
      <c r="G11" s="68"/>
      <c r="H11" s="68"/>
      <c r="I11" s="1"/>
      <c r="J11" s="1"/>
      <c r="K11" s="1"/>
    </row>
    <row r="12" spans="1:11" ht="1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8" customHeight="1" x14ac:dyDescent="0.25">
      <c r="A13" s="1"/>
      <c r="B13" s="3" t="s">
        <v>6</v>
      </c>
      <c r="C13" s="4" t="s">
        <v>7</v>
      </c>
      <c r="D13" s="1"/>
      <c r="E13" s="70"/>
      <c r="F13" s="68"/>
      <c r="G13" s="68"/>
      <c r="H13" s="68"/>
      <c r="I13" s="1"/>
      <c r="J13" s="1"/>
      <c r="K13" s="1"/>
    </row>
    <row r="14" spans="1:11" ht="18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customHeight="1" x14ac:dyDescent="0.25">
      <c r="A15" s="1"/>
      <c r="B15" s="3" t="s">
        <v>8</v>
      </c>
      <c r="C15" s="4" t="s">
        <v>9</v>
      </c>
      <c r="D15" s="1"/>
      <c r="E15" s="70"/>
      <c r="F15" s="70"/>
      <c r="G15" s="70"/>
      <c r="H15" s="70"/>
      <c r="I15" s="1"/>
      <c r="J15" s="1"/>
      <c r="K15" s="1"/>
    </row>
    <row r="16" spans="1:11" ht="18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8" customHeight="1" x14ac:dyDescent="0.25">
      <c r="A17" s="1"/>
      <c r="B17" s="3" t="s">
        <v>10</v>
      </c>
      <c r="C17" s="4" t="s">
        <v>11</v>
      </c>
      <c r="D17" s="1"/>
      <c r="E17" s="70"/>
      <c r="F17" s="70"/>
      <c r="G17" s="70"/>
      <c r="H17" s="70"/>
      <c r="I17" s="1"/>
      <c r="J17" s="1"/>
      <c r="K17" s="1"/>
    </row>
    <row r="18" spans="1:1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customHeight="1" x14ac:dyDescent="0.25">
      <c r="A19" s="1"/>
      <c r="B19" s="3" t="s">
        <v>12</v>
      </c>
      <c r="C19" s="4" t="s">
        <v>13</v>
      </c>
      <c r="D19" s="1"/>
      <c r="E19" s="70"/>
      <c r="F19" s="70"/>
      <c r="G19" s="70"/>
      <c r="H19" s="70"/>
      <c r="I19" s="1"/>
      <c r="J19" s="1"/>
      <c r="K19" s="1"/>
    </row>
    <row r="20" spans="1:11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" customHeight="1" x14ac:dyDescent="0.25">
      <c r="A21" s="1"/>
      <c r="B21" s="3" t="s">
        <v>14</v>
      </c>
      <c r="C21" s="4" t="s">
        <v>15</v>
      </c>
      <c r="D21" s="1"/>
      <c r="E21" s="70"/>
      <c r="F21" s="70"/>
      <c r="G21" s="70"/>
      <c r="H21" s="70"/>
      <c r="I21" s="1"/>
      <c r="J21" s="1"/>
      <c r="K21" s="1"/>
    </row>
    <row r="22" spans="1:11" ht="18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8" customHeight="1" x14ac:dyDescent="0.25">
      <c r="A32" s="1"/>
      <c r="B32" s="69" t="s">
        <v>16</v>
      </c>
      <c r="C32" s="68"/>
      <c r="D32" s="68"/>
      <c r="E32" s="68"/>
      <c r="F32" s="68"/>
      <c r="G32" s="68"/>
      <c r="H32" s="68"/>
      <c r="I32" s="1"/>
      <c r="J32" s="1"/>
      <c r="K32" s="1"/>
    </row>
    <row r="33" spans="1:11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8" customHeight="1" x14ac:dyDescent="0.25">
      <c r="A34" s="1"/>
      <c r="B34" s="75" t="s">
        <v>17</v>
      </c>
      <c r="C34" s="68"/>
      <c r="D34" s="68"/>
      <c r="E34" s="68"/>
      <c r="F34" s="68"/>
      <c r="G34" s="68"/>
      <c r="H34" s="68"/>
      <c r="I34" s="1"/>
      <c r="J34" s="1"/>
      <c r="K34" s="1"/>
    </row>
    <row r="35" spans="1:11" ht="18" customHeight="1" x14ac:dyDescent="0.25">
      <c r="A35" s="1"/>
      <c r="B35" s="71" t="s">
        <v>18</v>
      </c>
      <c r="C35" s="68"/>
      <c r="D35" s="68"/>
      <c r="E35" s="68"/>
      <c r="F35" s="68"/>
      <c r="G35" s="68"/>
      <c r="H35" s="68"/>
      <c r="I35" s="1"/>
      <c r="J35" s="1"/>
      <c r="K35" s="1"/>
    </row>
    <row r="36" spans="1:11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8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8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8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mergeCells count="13">
    <mergeCell ref="B3:H3"/>
    <mergeCell ref="B34:H34"/>
    <mergeCell ref="E11:H11"/>
    <mergeCell ref="E13:H13"/>
    <mergeCell ref="B8:H8"/>
    <mergeCell ref="B32:H32"/>
    <mergeCell ref="E17:H17"/>
    <mergeCell ref="B35:H35"/>
    <mergeCell ref="B4:H4"/>
    <mergeCell ref="E21:H21"/>
    <mergeCell ref="E15:H15"/>
    <mergeCell ref="B7:H7"/>
    <mergeCell ref="E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showGridLines="0" topLeftCell="A13" workbookViewId="0">
      <selection activeCell="B16" sqref="B16:N16"/>
    </sheetView>
  </sheetViews>
  <sheetFormatPr defaultRowHeight="15" x14ac:dyDescent="0.25"/>
  <cols>
    <col min="1" max="1" width="16" customWidth="1"/>
    <col min="2" max="14" width="12" customWidth="1"/>
  </cols>
  <sheetData>
    <row r="1" spans="1:14" ht="36" customHeight="1" x14ac:dyDescent="0.25">
      <c r="A1" s="85" t="s">
        <v>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15.95" customHeight="1" x14ac:dyDescent="0.25">
      <c r="A2" s="93" t="s">
        <v>20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4" spans="1:14" ht="8.1" customHeight="1" x14ac:dyDescent="0.25"/>
    <row r="5" spans="1:14" ht="15.95" customHeight="1" x14ac:dyDescent="0.25">
      <c r="A5" s="94" t="s">
        <v>4</v>
      </c>
      <c r="B5" s="68"/>
      <c r="C5" s="78" t="s">
        <v>6</v>
      </c>
      <c r="D5" s="68"/>
      <c r="E5" s="79" t="s">
        <v>8</v>
      </c>
      <c r="F5" s="68"/>
      <c r="G5" s="95" t="s">
        <v>10</v>
      </c>
      <c r="H5" s="68"/>
      <c r="I5" s="96" t="s">
        <v>12</v>
      </c>
      <c r="J5" s="68"/>
      <c r="K5" s="80" t="s">
        <v>14</v>
      </c>
      <c r="L5" s="68"/>
    </row>
    <row r="6" spans="1:14" ht="27.95" customHeight="1" x14ac:dyDescent="0.25">
      <c r="A6" s="84" t="s">
        <v>5</v>
      </c>
      <c r="B6" s="68"/>
      <c r="C6" s="76" t="s">
        <v>7</v>
      </c>
      <c r="D6" s="68"/>
      <c r="E6" s="91" t="s">
        <v>9</v>
      </c>
      <c r="F6" s="68"/>
      <c r="G6" s="89" t="s">
        <v>11</v>
      </c>
      <c r="H6" s="68"/>
      <c r="I6" s="77" t="s">
        <v>13</v>
      </c>
      <c r="J6" s="68"/>
      <c r="K6" s="104" t="s">
        <v>21</v>
      </c>
      <c r="L6" s="68"/>
    </row>
    <row r="7" spans="1:14" ht="15.95" customHeight="1" x14ac:dyDescent="0.25">
      <c r="A7" s="86" t="s">
        <v>22</v>
      </c>
      <c r="B7" s="68"/>
      <c r="C7" s="101" t="s">
        <v>23</v>
      </c>
      <c r="D7" s="68"/>
      <c r="E7" s="102" t="s">
        <v>24</v>
      </c>
      <c r="F7" s="68"/>
      <c r="G7" s="87" t="s">
        <v>25</v>
      </c>
      <c r="H7" s="68"/>
      <c r="I7" s="88" t="s">
        <v>26</v>
      </c>
      <c r="J7" s="68"/>
      <c r="K7" s="100" t="s">
        <v>27</v>
      </c>
      <c r="L7" s="68"/>
    </row>
    <row r="8" spans="1:14" ht="8.1" customHeight="1" x14ac:dyDescent="0.25">
      <c r="A8" s="98"/>
      <c r="B8" s="68"/>
      <c r="C8" s="99"/>
      <c r="D8" s="68"/>
      <c r="E8" s="83"/>
      <c r="F8" s="68"/>
      <c r="G8" s="82"/>
      <c r="H8" s="68"/>
      <c r="I8" s="97"/>
      <c r="J8" s="68"/>
      <c r="K8" s="92"/>
      <c r="L8" s="68"/>
    </row>
    <row r="9" spans="1:14" ht="8.1" customHeight="1" x14ac:dyDescent="0.25"/>
    <row r="10" spans="1:14" ht="21.95" customHeight="1" x14ac:dyDescent="0.25">
      <c r="A10" s="103" t="s">
        <v>28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 spans="1:14" ht="20.100000000000001" customHeight="1" x14ac:dyDescent="0.25">
      <c r="A11" s="5" t="s">
        <v>29</v>
      </c>
      <c r="B11" s="81" t="s">
        <v>30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</row>
    <row r="12" spans="1:14" ht="20.100000000000001" customHeight="1" x14ac:dyDescent="0.25">
      <c r="A12" s="6" t="s">
        <v>31</v>
      </c>
      <c r="B12" s="90" t="s">
        <v>32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</row>
    <row r="13" spans="1:14" ht="20.100000000000001" customHeight="1" x14ac:dyDescent="0.25">
      <c r="A13" s="7" t="s">
        <v>33</v>
      </c>
      <c r="B13" s="81" t="s">
        <v>34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</row>
    <row r="14" spans="1:14" ht="20.100000000000001" customHeight="1" x14ac:dyDescent="0.25">
      <c r="A14" s="8" t="s">
        <v>35</v>
      </c>
      <c r="B14" s="90" t="s">
        <v>36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</row>
    <row r="15" spans="1:14" ht="20.100000000000001" customHeight="1" x14ac:dyDescent="0.25">
      <c r="A15" s="9" t="s">
        <v>37</v>
      </c>
      <c r="B15" s="81" t="s">
        <v>38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</row>
    <row r="16" spans="1:14" ht="20.100000000000001" customHeight="1" x14ac:dyDescent="0.25">
      <c r="A16" s="10" t="s">
        <v>39</v>
      </c>
      <c r="B16" s="90" t="s">
        <v>40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</row>
    <row r="20" spans="1:2" x14ac:dyDescent="0.25">
      <c r="A20" t="s">
        <v>41</v>
      </c>
      <c r="B20" t="s">
        <v>42</v>
      </c>
    </row>
    <row r="21" spans="1:2" x14ac:dyDescent="0.25">
      <c r="A21" t="s">
        <v>43</v>
      </c>
      <c r="B21">
        <v>0.37859999999999999</v>
      </c>
    </row>
    <row r="22" spans="1:2" x14ac:dyDescent="0.25">
      <c r="A22" t="s">
        <v>44</v>
      </c>
      <c r="B22">
        <v>0.3196</v>
      </c>
    </row>
    <row r="23" spans="1:2" x14ac:dyDescent="0.25">
      <c r="A23" t="s">
        <v>45</v>
      </c>
      <c r="B23">
        <v>0.16320000000000001</v>
      </c>
    </row>
    <row r="24" spans="1:2" x14ac:dyDescent="0.25">
      <c r="A24" t="s">
        <v>46</v>
      </c>
      <c r="B24">
        <v>0.1386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>
        <v>49544</v>
      </c>
    </row>
    <row r="30" spans="1:2" x14ac:dyDescent="0.25">
      <c r="A30" t="s">
        <v>50</v>
      </c>
      <c r="B30">
        <v>61386</v>
      </c>
    </row>
    <row r="31" spans="1:2" x14ac:dyDescent="0.25">
      <c r="A31" t="s">
        <v>51</v>
      </c>
      <c r="B31">
        <v>82024</v>
      </c>
    </row>
    <row r="32" spans="1:2" x14ac:dyDescent="0.25">
      <c r="A32" t="s">
        <v>52</v>
      </c>
      <c r="B32">
        <v>93440</v>
      </c>
    </row>
  </sheetData>
  <mergeCells count="33">
    <mergeCell ref="B16:N16"/>
    <mergeCell ref="E6:F6"/>
    <mergeCell ref="K8:L8"/>
    <mergeCell ref="A2:N2"/>
    <mergeCell ref="A5:B5"/>
    <mergeCell ref="G5:H5"/>
    <mergeCell ref="B12:N12"/>
    <mergeCell ref="I5:J5"/>
    <mergeCell ref="I8:J8"/>
    <mergeCell ref="B11:N11"/>
    <mergeCell ref="A8:B8"/>
    <mergeCell ref="C8:D8"/>
    <mergeCell ref="K7:L7"/>
    <mergeCell ref="B14:N14"/>
    <mergeCell ref="C7:D7"/>
    <mergeCell ref="E7:F7"/>
    <mergeCell ref="B15:N15"/>
    <mergeCell ref="G8:H8"/>
    <mergeCell ref="E8:F8"/>
    <mergeCell ref="A6:B6"/>
    <mergeCell ref="A1:N1"/>
    <mergeCell ref="A7:B7"/>
    <mergeCell ref="G7:H7"/>
    <mergeCell ref="I7:J7"/>
    <mergeCell ref="G6:H6"/>
    <mergeCell ref="B13:N13"/>
    <mergeCell ref="A10:N10"/>
    <mergeCell ref="K6:L6"/>
    <mergeCell ref="C6:D6"/>
    <mergeCell ref="I6:J6"/>
    <mergeCell ref="C5:D5"/>
    <mergeCell ref="E5:F5"/>
    <mergeCell ref="K5:L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showGridLines="0" topLeftCell="A37" workbookViewId="0">
      <selection activeCell="J46" sqref="J46"/>
    </sheetView>
  </sheetViews>
  <sheetFormatPr defaultRowHeight="15" x14ac:dyDescent="0.25"/>
  <cols>
    <col min="1" max="1" width="18" customWidth="1"/>
    <col min="2" max="2" width="14" customWidth="1"/>
    <col min="3" max="3" width="30" customWidth="1"/>
    <col min="4" max="6" width="2" customWidth="1"/>
    <col min="7" max="7" width="16" customWidth="1"/>
    <col min="8" max="11" width="14" customWidth="1"/>
  </cols>
  <sheetData>
    <row r="1" spans="1:11" ht="36" customHeight="1" x14ac:dyDescent="0.25">
      <c r="A1" s="85" t="s">
        <v>53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95" customHeight="1" x14ac:dyDescent="0.25">
      <c r="A2" s="93" t="s">
        <v>54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4" spans="1:11" ht="21.95" customHeight="1" x14ac:dyDescent="0.25">
      <c r="A4" s="105" t="s">
        <v>55</v>
      </c>
      <c r="B4" s="68"/>
      <c r="C4" s="68"/>
      <c r="D4" s="68"/>
      <c r="E4" s="68"/>
    </row>
    <row r="5" spans="1:11" ht="26.1" customHeight="1" x14ac:dyDescent="0.25">
      <c r="A5" s="11" t="s">
        <v>41</v>
      </c>
      <c r="B5" s="11" t="s">
        <v>56</v>
      </c>
      <c r="C5" s="11" t="s">
        <v>57</v>
      </c>
    </row>
    <row r="6" spans="1:11" ht="18" customHeight="1" x14ac:dyDescent="0.25">
      <c r="A6" s="12" t="s">
        <v>43</v>
      </c>
      <c r="B6" s="13" t="s">
        <v>58</v>
      </c>
      <c r="C6" s="14" t="s">
        <v>59</v>
      </c>
    </row>
    <row r="7" spans="1:11" ht="18" customHeight="1" x14ac:dyDescent="0.25">
      <c r="A7" s="12" t="s">
        <v>44</v>
      </c>
      <c r="B7" s="13" t="s">
        <v>60</v>
      </c>
      <c r="C7" s="14" t="s">
        <v>61</v>
      </c>
    </row>
    <row r="8" spans="1:11" ht="18" customHeight="1" x14ac:dyDescent="0.25">
      <c r="A8" s="15" t="s">
        <v>45</v>
      </c>
      <c r="B8" s="16" t="s">
        <v>62</v>
      </c>
      <c r="C8" s="17" t="s">
        <v>63</v>
      </c>
    </row>
    <row r="9" spans="1:11" ht="18" customHeight="1" x14ac:dyDescent="0.25">
      <c r="A9" s="18" t="s">
        <v>46</v>
      </c>
      <c r="B9" s="19" t="s">
        <v>64</v>
      </c>
      <c r="C9" s="20" t="s">
        <v>65</v>
      </c>
    </row>
    <row r="11" spans="1:11" ht="21.95" customHeight="1" x14ac:dyDescent="0.25">
      <c r="A11" s="105" t="s">
        <v>66</v>
      </c>
      <c r="B11" s="68"/>
      <c r="C11" s="68"/>
      <c r="D11" s="68"/>
    </row>
    <row r="12" spans="1:11" ht="26.1" customHeight="1" x14ac:dyDescent="0.25">
      <c r="A12" s="11" t="s">
        <v>67</v>
      </c>
      <c r="B12" s="11" t="s">
        <v>56</v>
      </c>
      <c r="C12" s="11" t="s">
        <v>68</v>
      </c>
    </row>
    <row r="13" spans="1:11" ht="18" customHeight="1" x14ac:dyDescent="0.25">
      <c r="A13" s="21" t="s">
        <v>69</v>
      </c>
      <c r="B13" s="22" t="s">
        <v>70</v>
      </c>
      <c r="C13" s="23" t="s">
        <v>71</v>
      </c>
    </row>
    <row r="14" spans="1:11" ht="18" customHeight="1" x14ac:dyDescent="0.25">
      <c r="A14" s="21" t="s">
        <v>72</v>
      </c>
      <c r="B14" s="22" t="s">
        <v>73</v>
      </c>
      <c r="C14" s="23" t="s">
        <v>71</v>
      </c>
    </row>
    <row r="15" spans="1:11" ht="18" customHeight="1" x14ac:dyDescent="0.25">
      <c r="A15" s="24" t="s">
        <v>74</v>
      </c>
      <c r="B15" s="25" t="s">
        <v>75</v>
      </c>
      <c r="C15" s="26" t="s">
        <v>76</v>
      </c>
    </row>
    <row r="16" spans="1:11" ht="18" customHeight="1" x14ac:dyDescent="0.25">
      <c r="A16" s="27" t="s">
        <v>77</v>
      </c>
      <c r="B16" s="28" t="s">
        <v>78</v>
      </c>
      <c r="C16" s="29" t="s">
        <v>79</v>
      </c>
    </row>
    <row r="17" spans="1:3" ht="18" customHeight="1" x14ac:dyDescent="0.25">
      <c r="A17" s="24" t="s">
        <v>80</v>
      </c>
      <c r="B17" s="25" t="s">
        <v>81</v>
      </c>
      <c r="C17" s="26" t="s">
        <v>79</v>
      </c>
    </row>
    <row r="18" spans="1:3" ht="18" customHeight="1" x14ac:dyDescent="0.25">
      <c r="A18" s="27" t="s">
        <v>82</v>
      </c>
      <c r="B18" s="28" t="s">
        <v>83</v>
      </c>
      <c r="C18" s="29" t="s">
        <v>79</v>
      </c>
    </row>
    <row r="19" spans="1:3" ht="18" customHeight="1" x14ac:dyDescent="0.25">
      <c r="A19" s="24" t="s">
        <v>84</v>
      </c>
      <c r="B19" s="25" t="s">
        <v>85</v>
      </c>
      <c r="C19" s="26" t="s">
        <v>86</v>
      </c>
    </row>
    <row r="20" spans="1:3" ht="18" customHeight="1" x14ac:dyDescent="0.25">
      <c r="A20" s="27" t="s">
        <v>87</v>
      </c>
      <c r="B20" s="28" t="s">
        <v>88</v>
      </c>
      <c r="C20" s="29" t="s">
        <v>86</v>
      </c>
    </row>
    <row r="21" spans="1:3" ht="18" customHeight="1" x14ac:dyDescent="0.25">
      <c r="A21" s="24" t="s">
        <v>89</v>
      </c>
      <c r="B21" s="25" t="s">
        <v>90</v>
      </c>
      <c r="C21" s="26" t="s">
        <v>86</v>
      </c>
    </row>
    <row r="22" spans="1:3" ht="18" customHeight="1" x14ac:dyDescent="0.25">
      <c r="A22" s="27" t="s">
        <v>91</v>
      </c>
      <c r="B22" s="28" t="s">
        <v>92</v>
      </c>
      <c r="C22" s="29" t="s">
        <v>86</v>
      </c>
    </row>
    <row r="25" spans="1:3" ht="21.95" customHeight="1" x14ac:dyDescent="0.25">
      <c r="A25" s="105" t="s">
        <v>93</v>
      </c>
      <c r="B25" s="68"/>
      <c r="C25" s="68"/>
    </row>
    <row r="26" spans="1:3" ht="26.1" customHeight="1" x14ac:dyDescent="0.25">
      <c r="A26" s="11" t="s">
        <v>41</v>
      </c>
      <c r="B26" s="11" t="s">
        <v>94</v>
      </c>
      <c r="C26" s="11" t="s">
        <v>95</v>
      </c>
    </row>
    <row r="27" spans="1:3" ht="18" customHeight="1" x14ac:dyDescent="0.25">
      <c r="A27" s="21" t="s">
        <v>43</v>
      </c>
      <c r="B27" s="22">
        <v>686</v>
      </c>
      <c r="C27" s="30" t="s">
        <v>96</v>
      </c>
    </row>
    <row r="28" spans="1:3" ht="18" customHeight="1" x14ac:dyDescent="0.25">
      <c r="A28" s="27" t="s">
        <v>44</v>
      </c>
      <c r="B28" s="31">
        <v>674</v>
      </c>
      <c r="C28" s="28" t="s">
        <v>97</v>
      </c>
    </row>
    <row r="29" spans="1:3" ht="18" customHeight="1" x14ac:dyDescent="0.25">
      <c r="A29" s="24" t="s">
        <v>46</v>
      </c>
      <c r="B29" s="32">
        <v>629</v>
      </c>
      <c r="C29" s="25" t="s">
        <v>98</v>
      </c>
    </row>
    <row r="30" spans="1:3" ht="18" customHeight="1" x14ac:dyDescent="0.25">
      <c r="A30" s="27" t="s">
        <v>45</v>
      </c>
      <c r="B30" s="31">
        <v>512</v>
      </c>
      <c r="C30" s="28" t="s">
        <v>99</v>
      </c>
    </row>
    <row r="33" spans="1:5" ht="21.95" customHeight="1" x14ac:dyDescent="0.25">
      <c r="A33" s="103" t="s">
        <v>100</v>
      </c>
      <c r="B33" s="68"/>
      <c r="C33" s="68"/>
      <c r="D33" s="68"/>
      <c r="E33" s="68"/>
    </row>
    <row r="34" spans="1:5" ht="39.75" customHeight="1" x14ac:dyDescent="0.25">
      <c r="A34" s="5" t="s">
        <v>101</v>
      </c>
      <c r="B34" s="107" t="s">
        <v>102</v>
      </c>
      <c r="C34" s="68"/>
      <c r="D34" s="68"/>
      <c r="E34" s="68"/>
    </row>
    <row r="35" spans="1:5" ht="34.5" customHeight="1" x14ac:dyDescent="0.25">
      <c r="A35" s="7" t="s">
        <v>101</v>
      </c>
      <c r="B35" s="106" t="s">
        <v>103</v>
      </c>
      <c r="C35" s="68"/>
      <c r="D35" s="68"/>
      <c r="E35" s="68"/>
    </row>
    <row r="36" spans="1:5" ht="38.25" customHeight="1" x14ac:dyDescent="0.25">
      <c r="A36" s="6" t="s">
        <v>101</v>
      </c>
      <c r="B36" s="107" t="s">
        <v>104</v>
      </c>
      <c r="C36" s="68"/>
      <c r="D36" s="68"/>
      <c r="E36" s="68"/>
    </row>
    <row r="37" spans="1:5" ht="30.75" customHeight="1" x14ac:dyDescent="0.25">
      <c r="A37" s="8" t="s">
        <v>101</v>
      </c>
      <c r="B37" s="106" t="s">
        <v>105</v>
      </c>
      <c r="C37" s="68"/>
      <c r="D37" s="68"/>
      <c r="E37" s="68"/>
    </row>
    <row r="41" spans="1:5" x14ac:dyDescent="0.25">
      <c r="A41" s="111"/>
      <c r="B41" s="112"/>
    </row>
    <row r="42" spans="1:5" x14ac:dyDescent="0.25">
      <c r="A42" s="113" t="s">
        <v>41</v>
      </c>
      <c r="B42" s="114" t="s">
        <v>42</v>
      </c>
    </row>
    <row r="43" spans="1:5" x14ac:dyDescent="0.25">
      <c r="A43" s="113" t="s">
        <v>43</v>
      </c>
      <c r="B43" s="114">
        <v>0.37859999999999999</v>
      </c>
    </row>
    <row r="44" spans="1:5" x14ac:dyDescent="0.25">
      <c r="A44" s="113" t="s">
        <v>44</v>
      </c>
      <c r="B44" s="114">
        <v>0.3196</v>
      </c>
    </row>
    <row r="45" spans="1:5" x14ac:dyDescent="0.25">
      <c r="A45" s="113" t="s">
        <v>45</v>
      </c>
      <c r="B45" s="114">
        <v>0.16320000000000001</v>
      </c>
    </row>
    <row r="46" spans="1:5" x14ac:dyDescent="0.25">
      <c r="A46" s="115" t="s">
        <v>46</v>
      </c>
      <c r="B46" s="116">
        <v>0.1386</v>
      </c>
    </row>
    <row r="48" spans="1:5" x14ac:dyDescent="0.25">
      <c r="A48" s="111" t="s">
        <v>41</v>
      </c>
      <c r="B48" s="112" t="s">
        <v>94</v>
      </c>
    </row>
    <row r="49" spans="1:2" x14ac:dyDescent="0.25">
      <c r="A49" s="113" t="s">
        <v>43</v>
      </c>
      <c r="B49" s="114">
        <v>686</v>
      </c>
    </row>
    <row r="50" spans="1:2" x14ac:dyDescent="0.25">
      <c r="A50" s="113" t="s">
        <v>44</v>
      </c>
      <c r="B50" s="114">
        <v>674</v>
      </c>
    </row>
    <row r="51" spans="1:2" x14ac:dyDescent="0.25">
      <c r="A51" s="113" t="s">
        <v>46</v>
      </c>
      <c r="B51" s="114">
        <v>629</v>
      </c>
    </row>
    <row r="52" spans="1:2" x14ac:dyDescent="0.25">
      <c r="A52" s="115" t="s">
        <v>45</v>
      </c>
      <c r="B52" s="116">
        <v>512</v>
      </c>
    </row>
  </sheetData>
  <mergeCells count="10">
    <mergeCell ref="A2:K2"/>
    <mergeCell ref="A11:D11"/>
    <mergeCell ref="A1:K1"/>
    <mergeCell ref="B36:E36"/>
    <mergeCell ref="B34:E34"/>
    <mergeCell ref="A25:C25"/>
    <mergeCell ref="A4:E4"/>
    <mergeCell ref="B35:E35"/>
    <mergeCell ref="B37:E37"/>
    <mergeCell ref="A33:E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GridLines="0" topLeftCell="A25" workbookViewId="0">
      <selection activeCell="E30" sqref="E30"/>
    </sheetView>
  </sheetViews>
  <sheetFormatPr defaultRowHeight="15" x14ac:dyDescent="0.25"/>
  <cols>
    <col min="1" max="1" width="18" customWidth="1"/>
    <col min="2" max="3" width="14" customWidth="1"/>
    <col min="4" max="5" width="30" customWidth="1"/>
    <col min="6" max="6" width="2" customWidth="1"/>
    <col min="7" max="7" width="16" customWidth="1"/>
    <col min="8" max="11" width="14" customWidth="1"/>
  </cols>
  <sheetData>
    <row r="1" spans="1:11" ht="36" customHeight="1" x14ac:dyDescent="0.25">
      <c r="A1" s="85" t="s">
        <v>106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95" customHeight="1" x14ac:dyDescent="0.25">
      <c r="A2" s="93" t="s">
        <v>107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4" spans="1:11" ht="21.95" customHeight="1" x14ac:dyDescent="0.25">
      <c r="A4" s="105" t="s">
        <v>108</v>
      </c>
      <c r="B4" s="68"/>
      <c r="C4" s="68"/>
      <c r="D4" s="68"/>
      <c r="E4" s="68"/>
    </row>
    <row r="5" spans="1:11" ht="26.1" customHeight="1" x14ac:dyDescent="0.25">
      <c r="A5" s="11" t="s">
        <v>109</v>
      </c>
      <c r="B5" s="11" t="s">
        <v>110</v>
      </c>
      <c r="C5" s="11" t="s">
        <v>111</v>
      </c>
      <c r="D5" s="11" t="s">
        <v>112</v>
      </c>
      <c r="E5" s="11" t="s">
        <v>113</v>
      </c>
    </row>
    <row r="6" spans="1:11" ht="18" customHeight="1" x14ac:dyDescent="0.25">
      <c r="A6" s="12" t="s">
        <v>114</v>
      </c>
      <c r="B6" s="33">
        <v>145455</v>
      </c>
      <c r="C6" s="34">
        <v>79</v>
      </c>
      <c r="D6" s="13" t="s">
        <v>115</v>
      </c>
      <c r="E6" s="35" t="s">
        <v>116</v>
      </c>
    </row>
    <row r="7" spans="1:11" ht="18" customHeight="1" x14ac:dyDescent="0.25">
      <c r="A7" s="15" t="s">
        <v>117</v>
      </c>
      <c r="B7" s="36">
        <v>122491</v>
      </c>
      <c r="C7" s="37">
        <v>20</v>
      </c>
      <c r="D7" s="38" t="s">
        <v>118</v>
      </c>
      <c r="E7" s="39" t="s">
        <v>119</v>
      </c>
    </row>
    <row r="8" spans="1:11" ht="18" customHeight="1" x14ac:dyDescent="0.25">
      <c r="A8" s="18" t="s">
        <v>120</v>
      </c>
      <c r="B8" s="40">
        <v>18451</v>
      </c>
      <c r="C8" s="41">
        <v>9</v>
      </c>
      <c r="D8" s="19" t="s">
        <v>121</v>
      </c>
      <c r="E8" s="42" t="s">
        <v>122</v>
      </c>
    </row>
    <row r="11" spans="1:11" ht="21.95" customHeight="1" x14ac:dyDescent="0.25">
      <c r="A11" s="108" t="s">
        <v>123</v>
      </c>
      <c r="B11" s="68"/>
      <c r="C11" s="68"/>
      <c r="D11" s="68"/>
      <c r="E11" s="68"/>
    </row>
    <row r="12" spans="1:11" ht="26.1" customHeight="1" x14ac:dyDescent="0.25">
      <c r="A12" s="43" t="s">
        <v>124</v>
      </c>
      <c r="B12" s="43" t="s">
        <v>125</v>
      </c>
      <c r="C12" s="43" t="s">
        <v>126</v>
      </c>
      <c r="D12" s="43" t="s">
        <v>68</v>
      </c>
      <c r="E12" s="43" t="s">
        <v>127</v>
      </c>
    </row>
    <row r="13" spans="1:11" ht="18" customHeight="1" x14ac:dyDescent="0.25">
      <c r="A13" s="18" t="s">
        <v>128</v>
      </c>
      <c r="B13" s="44">
        <v>-56</v>
      </c>
      <c r="C13" s="41">
        <v>-17725</v>
      </c>
      <c r="D13" s="45" t="s">
        <v>129</v>
      </c>
      <c r="E13" s="20" t="s">
        <v>130</v>
      </c>
    </row>
    <row r="14" spans="1:11" ht="18" customHeight="1" x14ac:dyDescent="0.25">
      <c r="A14" s="18" t="s">
        <v>131</v>
      </c>
      <c r="B14" s="44">
        <v>-15</v>
      </c>
      <c r="C14" s="118">
        <v>-15760</v>
      </c>
      <c r="D14" s="45" t="s">
        <v>129</v>
      </c>
      <c r="E14" s="20" t="s">
        <v>132</v>
      </c>
    </row>
    <row r="15" spans="1:11" ht="18" customHeight="1" x14ac:dyDescent="0.25">
      <c r="A15" s="15" t="s">
        <v>133</v>
      </c>
      <c r="B15" s="46">
        <v>14</v>
      </c>
      <c r="C15" s="119">
        <v>10928</v>
      </c>
      <c r="D15" s="47" t="s">
        <v>134</v>
      </c>
      <c r="E15" s="17" t="s">
        <v>135</v>
      </c>
    </row>
    <row r="16" spans="1:11" ht="18" customHeight="1" x14ac:dyDescent="0.25">
      <c r="A16" s="12" t="s">
        <v>136</v>
      </c>
      <c r="B16" s="48">
        <v>43</v>
      </c>
      <c r="C16" s="117">
        <v>20881</v>
      </c>
      <c r="D16" s="22" t="s">
        <v>137</v>
      </c>
      <c r="E16" s="14" t="s">
        <v>138</v>
      </c>
    </row>
    <row r="18" spans="1:5" ht="21.95" customHeight="1" x14ac:dyDescent="0.25">
      <c r="A18" s="109" t="s">
        <v>139</v>
      </c>
      <c r="B18" s="68"/>
      <c r="C18" s="68"/>
      <c r="D18" s="68"/>
      <c r="E18" s="68"/>
    </row>
    <row r="20" spans="1:5" ht="21.95" customHeight="1" x14ac:dyDescent="0.25">
      <c r="A20" s="105" t="s">
        <v>140</v>
      </c>
      <c r="B20" s="68"/>
      <c r="C20" s="68"/>
      <c r="D20" s="68"/>
    </row>
    <row r="21" spans="1:5" ht="26.1" customHeight="1" x14ac:dyDescent="0.25">
      <c r="A21" s="11" t="s">
        <v>124</v>
      </c>
      <c r="B21" s="11" t="s">
        <v>110</v>
      </c>
      <c r="C21" s="11" t="s">
        <v>141</v>
      </c>
      <c r="D21" s="11" t="s">
        <v>142</v>
      </c>
    </row>
    <row r="22" spans="1:5" ht="18" customHeight="1" x14ac:dyDescent="0.25">
      <c r="A22" s="21" t="s">
        <v>143</v>
      </c>
      <c r="B22" s="33">
        <v>55618</v>
      </c>
      <c r="C22" s="49" t="s">
        <v>144</v>
      </c>
      <c r="D22" s="14" t="s">
        <v>145</v>
      </c>
    </row>
    <row r="23" spans="1:5" ht="18" customHeight="1" x14ac:dyDescent="0.25">
      <c r="A23" s="21" t="s">
        <v>146</v>
      </c>
      <c r="B23" s="33">
        <v>44516</v>
      </c>
      <c r="C23" s="49" t="s">
        <v>144</v>
      </c>
      <c r="D23" s="14" t="s">
        <v>147</v>
      </c>
    </row>
    <row r="24" spans="1:5" ht="18" customHeight="1" x14ac:dyDescent="0.25">
      <c r="A24" s="21" t="s">
        <v>148</v>
      </c>
      <c r="B24" s="33">
        <v>41937</v>
      </c>
      <c r="C24" s="49" t="s">
        <v>144</v>
      </c>
      <c r="D24" s="14" t="s">
        <v>147</v>
      </c>
    </row>
    <row r="25" spans="1:5" ht="18" customHeight="1" x14ac:dyDescent="0.25">
      <c r="A25" s="50" t="s">
        <v>149</v>
      </c>
      <c r="B25" s="36">
        <v>30222</v>
      </c>
      <c r="C25" s="51" t="s">
        <v>150</v>
      </c>
      <c r="D25" s="17" t="s">
        <v>151</v>
      </c>
    </row>
    <row r="26" spans="1:5" ht="18" customHeight="1" x14ac:dyDescent="0.25">
      <c r="A26" s="50" t="s">
        <v>152</v>
      </c>
      <c r="B26" s="36">
        <v>34054</v>
      </c>
      <c r="C26" s="51" t="s">
        <v>150</v>
      </c>
      <c r="D26" s="17" t="s">
        <v>151</v>
      </c>
    </row>
    <row r="27" spans="1:5" ht="18" customHeight="1" x14ac:dyDescent="0.25">
      <c r="A27" s="50" t="s">
        <v>136</v>
      </c>
      <c r="B27" s="36">
        <v>26590</v>
      </c>
      <c r="C27" s="51" t="s">
        <v>150</v>
      </c>
      <c r="D27" s="17" t="s">
        <v>151</v>
      </c>
    </row>
    <row r="28" spans="1:5" ht="18" customHeight="1" x14ac:dyDescent="0.25">
      <c r="A28" s="50" t="s">
        <v>153</v>
      </c>
      <c r="B28" s="36">
        <v>21279</v>
      </c>
      <c r="C28" s="51" t="s">
        <v>150</v>
      </c>
      <c r="D28" s="17" t="s">
        <v>154</v>
      </c>
    </row>
    <row r="29" spans="1:5" ht="18" customHeight="1" x14ac:dyDescent="0.25">
      <c r="A29" s="50" t="s">
        <v>155</v>
      </c>
      <c r="B29" s="36">
        <v>18138</v>
      </c>
      <c r="C29" s="51" t="s">
        <v>150</v>
      </c>
      <c r="D29" s="17" t="s">
        <v>154</v>
      </c>
    </row>
    <row r="30" spans="1:5" ht="18" customHeight="1" x14ac:dyDescent="0.25">
      <c r="A30" s="24" t="s">
        <v>133</v>
      </c>
      <c r="B30" s="52">
        <v>13059</v>
      </c>
      <c r="C30" s="53" t="s">
        <v>156</v>
      </c>
      <c r="D30" s="26" t="s">
        <v>157</v>
      </c>
    </row>
    <row r="31" spans="1:5" ht="18" customHeight="1" x14ac:dyDescent="0.25">
      <c r="A31" s="24" t="s">
        <v>158</v>
      </c>
      <c r="B31" s="52">
        <v>6964</v>
      </c>
      <c r="C31" s="53" t="s">
        <v>156</v>
      </c>
      <c r="D31" s="26" t="s">
        <v>157</v>
      </c>
    </row>
    <row r="36" spans="1:2" x14ac:dyDescent="0.25">
      <c r="A36" t="s">
        <v>109</v>
      </c>
      <c r="B36" t="s">
        <v>48</v>
      </c>
    </row>
    <row r="37" spans="1:2" x14ac:dyDescent="0.25">
      <c r="A37" t="s">
        <v>114</v>
      </c>
      <c r="B37">
        <v>145455</v>
      </c>
    </row>
    <row r="38" spans="1:2" x14ac:dyDescent="0.25">
      <c r="A38" t="s">
        <v>117</v>
      </c>
      <c r="B38">
        <v>122491</v>
      </c>
    </row>
    <row r="39" spans="1:2" x14ac:dyDescent="0.25">
      <c r="A39" t="s">
        <v>120</v>
      </c>
      <c r="B39">
        <v>18451</v>
      </c>
    </row>
    <row r="42" spans="1:2" x14ac:dyDescent="0.25">
      <c r="A42" t="s">
        <v>124</v>
      </c>
      <c r="B42" t="s">
        <v>125</v>
      </c>
    </row>
    <row r="43" spans="1:2" x14ac:dyDescent="0.25">
      <c r="A43" t="s">
        <v>128</v>
      </c>
      <c r="B43">
        <v>-56</v>
      </c>
    </row>
    <row r="44" spans="1:2" x14ac:dyDescent="0.25">
      <c r="A44" t="s">
        <v>131</v>
      </c>
      <c r="B44">
        <v>-15</v>
      </c>
    </row>
    <row r="45" spans="1:2" x14ac:dyDescent="0.25">
      <c r="A45" t="s">
        <v>133</v>
      </c>
      <c r="B45">
        <v>14</v>
      </c>
    </row>
    <row r="46" spans="1:2" x14ac:dyDescent="0.25">
      <c r="A46" t="s">
        <v>136</v>
      </c>
      <c r="B46">
        <v>43</v>
      </c>
    </row>
  </sheetData>
  <mergeCells count="6">
    <mergeCell ref="A4:E4"/>
    <mergeCell ref="A20:D20"/>
    <mergeCell ref="A2:K2"/>
    <mergeCell ref="A11:E11"/>
    <mergeCell ref="A1:K1"/>
    <mergeCell ref="A18:E1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topLeftCell="A19" workbookViewId="0">
      <selection activeCell="H37" sqref="H37"/>
    </sheetView>
  </sheetViews>
  <sheetFormatPr defaultRowHeight="15" x14ac:dyDescent="0.25"/>
  <cols>
    <col min="1" max="1" width="24" customWidth="1"/>
    <col min="2" max="2" width="12" customWidth="1"/>
    <col min="3" max="3" width="10" customWidth="1"/>
    <col min="4" max="4" width="32" customWidth="1"/>
    <col min="5" max="5" width="2" customWidth="1"/>
    <col min="6" max="6" width="16" customWidth="1"/>
    <col min="7" max="9" width="14" customWidth="1"/>
  </cols>
  <sheetData>
    <row r="1" spans="1:9" ht="36" customHeight="1" x14ac:dyDescent="0.25">
      <c r="A1" s="85" t="s">
        <v>159</v>
      </c>
      <c r="B1" s="68"/>
      <c r="C1" s="68"/>
      <c r="D1" s="68"/>
      <c r="E1" s="68"/>
      <c r="F1" s="68"/>
      <c r="G1" s="68"/>
      <c r="H1" s="68"/>
      <c r="I1" s="68"/>
    </row>
    <row r="2" spans="1:9" ht="15.95" customHeight="1" x14ac:dyDescent="0.25">
      <c r="A2" s="93" t="s">
        <v>160</v>
      </c>
      <c r="B2" s="68"/>
      <c r="C2" s="68"/>
      <c r="D2" s="68"/>
      <c r="E2" s="68"/>
      <c r="F2" s="68"/>
      <c r="G2" s="68"/>
      <c r="H2" s="68"/>
      <c r="I2" s="68"/>
    </row>
    <row r="4" spans="1:9" ht="21.95" customHeight="1" x14ac:dyDescent="0.25">
      <c r="A4" s="105" t="s">
        <v>161</v>
      </c>
      <c r="B4" s="68"/>
      <c r="C4" s="68"/>
      <c r="D4" s="68"/>
    </row>
    <row r="5" spans="1:9" ht="26.1" customHeight="1" x14ac:dyDescent="0.25">
      <c r="A5" s="11" t="s">
        <v>162</v>
      </c>
      <c r="B5" s="11" t="s">
        <v>48</v>
      </c>
      <c r="C5" s="11" t="s">
        <v>113</v>
      </c>
      <c r="D5" s="11" t="s">
        <v>163</v>
      </c>
    </row>
    <row r="6" spans="1:9" ht="18" customHeight="1" x14ac:dyDescent="0.25">
      <c r="A6" s="18" t="s">
        <v>164</v>
      </c>
      <c r="B6" s="40">
        <v>8981</v>
      </c>
      <c r="C6" s="45" t="s">
        <v>165</v>
      </c>
      <c r="D6" s="20" t="s">
        <v>166</v>
      </c>
    </row>
    <row r="7" spans="1:9" ht="18" customHeight="1" x14ac:dyDescent="0.25">
      <c r="A7" s="18" t="s">
        <v>167</v>
      </c>
      <c r="B7" s="40">
        <v>6976</v>
      </c>
      <c r="C7" s="45" t="s">
        <v>168</v>
      </c>
      <c r="D7" s="20" t="s">
        <v>169</v>
      </c>
    </row>
    <row r="8" spans="1:9" ht="18" customHeight="1" x14ac:dyDescent="0.25">
      <c r="A8" s="18" t="s">
        <v>170</v>
      </c>
      <c r="B8" s="40">
        <v>5622</v>
      </c>
      <c r="C8" s="45" t="s">
        <v>171</v>
      </c>
      <c r="D8" s="20" t="s">
        <v>169</v>
      </c>
    </row>
    <row r="9" spans="1:9" ht="18" customHeight="1" x14ac:dyDescent="0.25">
      <c r="A9" s="50" t="s">
        <v>172</v>
      </c>
      <c r="B9" s="36">
        <v>5757</v>
      </c>
      <c r="C9" s="47" t="s">
        <v>173</v>
      </c>
      <c r="D9" s="17" t="s">
        <v>174</v>
      </c>
    </row>
    <row r="10" spans="1:9" ht="18" customHeight="1" x14ac:dyDescent="0.25">
      <c r="A10" s="50" t="s">
        <v>175</v>
      </c>
      <c r="B10" s="36">
        <v>5445</v>
      </c>
      <c r="C10" s="47" t="s">
        <v>176</v>
      </c>
      <c r="D10" s="17" t="s">
        <v>174</v>
      </c>
    </row>
    <row r="11" spans="1:9" ht="18" customHeight="1" x14ac:dyDescent="0.25">
      <c r="A11" s="50" t="s">
        <v>177</v>
      </c>
      <c r="B11" s="36">
        <v>4704</v>
      </c>
      <c r="C11" s="47" t="s">
        <v>178</v>
      </c>
      <c r="D11" s="17" t="s">
        <v>179</v>
      </c>
    </row>
    <row r="12" spans="1:9" ht="18" customHeight="1" x14ac:dyDescent="0.25">
      <c r="A12" s="21" t="s">
        <v>180</v>
      </c>
      <c r="B12" s="33">
        <v>3900</v>
      </c>
      <c r="C12" s="22" t="s">
        <v>181</v>
      </c>
      <c r="D12" s="14" t="s">
        <v>179</v>
      </c>
    </row>
    <row r="13" spans="1:9" ht="18" customHeight="1" x14ac:dyDescent="0.25">
      <c r="A13" s="21" t="s">
        <v>182</v>
      </c>
      <c r="B13" s="33">
        <v>3039</v>
      </c>
      <c r="C13" s="22" t="s">
        <v>183</v>
      </c>
      <c r="D13" s="14" t="s">
        <v>179</v>
      </c>
    </row>
    <row r="14" spans="1:9" ht="18" customHeight="1" x14ac:dyDescent="0.25">
      <c r="A14" s="21" t="s">
        <v>184</v>
      </c>
      <c r="B14" s="33">
        <v>2885</v>
      </c>
      <c r="C14" s="22" t="s">
        <v>185</v>
      </c>
      <c r="D14" s="14" t="s">
        <v>186</v>
      </c>
    </row>
    <row r="15" spans="1:9" ht="18" customHeight="1" x14ac:dyDescent="0.25">
      <c r="A15" s="21" t="s">
        <v>187</v>
      </c>
      <c r="B15" s="33">
        <v>2869</v>
      </c>
      <c r="C15" s="22" t="s">
        <v>188</v>
      </c>
      <c r="D15" s="14" t="s">
        <v>186</v>
      </c>
    </row>
    <row r="17" spans="1:4" ht="21.95" customHeight="1" x14ac:dyDescent="0.25">
      <c r="A17" s="110" t="s">
        <v>189</v>
      </c>
      <c r="B17" s="68"/>
      <c r="C17" s="68"/>
      <c r="D17" s="68"/>
    </row>
    <row r="19" spans="1:4" ht="21.95" customHeight="1" x14ac:dyDescent="0.25">
      <c r="A19" s="105" t="s">
        <v>93</v>
      </c>
      <c r="B19" s="68"/>
      <c r="C19" s="68"/>
      <c r="D19" s="68"/>
    </row>
    <row r="20" spans="1:4" ht="26.1" customHeight="1" x14ac:dyDescent="0.25">
      <c r="A20" s="11" t="s">
        <v>41</v>
      </c>
      <c r="B20" s="11" t="s">
        <v>94</v>
      </c>
      <c r="C20" s="11" t="s">
        <v>190</v>
      </c>
      <c r="D20" s="11" t="s">
        <v>191</v>
      </c>
    </row>
    <row r="21" spans="1:4" ht="18" customHeight="1" x14ac:dyDescent="0.25">
      <c r="A21" s="54" t="s">
        <v>43</v>
      </c>
      <c r="B21" s="32">
        <v>686</v>
      </c>
      <c r="C21" s="25" t="s">
        <v>96</v>
      </c>
      <c r="D21" s="26" t="s">
        <v>192</v>
      </c>
    </row>
    <row r="22" spans="1:4" ht="18" customHeight="1" x14ac:dyDescent="0.25">
      <c r="A22" s="55" t="s">
        <v>44</v>
      </c>
      <c r="B22" s="31">
        <v>674</v>
      </c>
      <c r="C22" s="28" t="s">
        <v>97</v>
      </c>
      <c r="D22" s="29" t="s">
        <v>193</v>
      </c>
    </row>
    <row r="23" spans="1:4" ht="18" customHeight="1" x14ac:dyDescent="0.25">
      <c r="A23" s="54" t="s">
        <v>46</v>
      </c>
      <c r="B23" s="32">
        <v>629</v>
      </c>
      <c r="C23" s="25" t="s">
        <v>98</v>
      </c>
      <c r="D23" s="26" t="s">
        <v>194</v>
      </c>
    </row>
    <row r="24" spans="1:4" ht="18" customHeight="1" x14ac:dyDescent="0.25">
      <c r="A24" s="55" t="s">
        <v>45</v>
      </c>
      <c r="B24" s="31">
        <v>512</v>
      </c>
      <c r="C24" s="28" t="s">
        <v>99</v>
      </c>
      <c r="D24" s="56" t="s">
        <v>195</v>
      </c>
    </row>
    <row r="28" spans="1:4" x14ac:dyDescent="0.25">
      <c r="A28" t="s">
        <v>196</v>
      </c>
      <c r="B28" t="s">
        <v>48</v>
      </c>
    </row>
    <row r="29" spans="1:4" x14ac:dyDescent="0.25">
      <c r="A29" t="s">
        <v>197</v>
      </c>
      <c r="B29">
        <v>8981</v>
      </c>
    </row>
    <row r="30" spans="1:4" x14ac:dyDescent="0.25">
      <c r="A30" t="s">
        <v>198</v>
      </c>
      <c r="B30">
        <v>6976</v>
      </c>
    </row>
    <row r="31" spans="1:4" x14ac:dyDescent="0.25">
      <c r="A31" t="s">
        <v>199</v>
      </c>
      <c r="B31">
        <v>5622</v>
      </c>
    </row>
    <row r="32" spans="1:4" x14ac:dyDescent="0.25">
      <c r="A32" t="s">
        <v>200</v>
      </c>
      <c r="B32">
        <v>5757</v>
      </c>
    </row>
    <row r="33" spans="1:2" x14ac:dyDescent="0.25">
      <c r="A33" t="s">
        <v>201</v>
      </c>
      <c r="B33">
        <v>5445</v>
      </c>
    </row>
    <row r="34" spans="1:2" x14ac:dyDescent="0.25">
      <c r="A34" t="s">
        <v>202</v>
      </c>
      <c r="B34">
        <v>4704</v>
      </c>
    </row>
    <row r="35" spans="1:2" x14ac:dyDescent="0.25">
      <c r="A35" t="s">
        <v>203</v>
      </c>
      <c r="B35">
        <v>3900</v>
      </c>
    </row>
    <row r="36" spans="1:2" x14ac:dyDescent="0.25">
      <c r="A36" t="s">
        <v>204</v>
      </c>
      <c r="B36">
        <v>3039</v>
      </c>
    </row>
    <row r="37" spans="1:2" x14ac:dyDescent="0.25">
      <c r="A37" t="s">
        <v>205</v>
      </c>
      <c r="B37">
        <v>2885</v>
      </c>
    </row>
    <row r="38" spans="1:2" x14ac:dyDescent="0.25">
      <c r="A38" t="s">
        <v>206</v>
      </c>
      <c r="B38">
        <v>2869</v>
      </c>
    </row>
  </sheetData>
  <mergeCells count="5">
    <mergeCell ref="A17:D17"/>
    <mergeCell ref="A2:I2"/>
    <mergeCell ref="A4:D4"/>
    <mergeCell ref="A1:I1"/>
    <mergeCell ref="A19:D1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showGridLines="0" workbookViewId="0">
      <selection sqref="A1:K1"/>
    </sheetView>
  </sheetViews>
  <sheetFormatPr defaultRowHeight="15" x14ac:dyDescent="0.25"/>
  <cols>
    <col min="1" max="1" width="14" customWidth="1"/>
    <col min="2" max="4" width="12" customWidth="1"/>
    <col min="5" max="5" width="30" customWidth="1"/>
    <col min="6" max="6" width="2" customWidth="1"/>
    <col min="7" max="7" width="16" customWidth="1"/>
    <col min="8" max="11" width="14" customWidth="1"/>
  </cols>
  <sheetData>
    <row r="1" spans="1:11" ht="36" customHeight="1" x14ac:dyDescent="0.25">
      <c r="A1" s="85" t="s">
        <v>207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95" customHeight="1" x14ac:dyDescent="0.25">
      <c r="A2" s="93" t="s">
        <v>208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4" spans="1:11" ht="21.95" customHeight="1" x14ac:dyDescent="0.25">
      <c r="A4" s="105" t="s">
        <v>209</v>
      </c>
      <c r="B4" s="68"/>
      <c r="C4" s="68"/>
      <c r="D4" s="68"/>
      <c r="E4" s="68"/>
    </row>
    <row r="5" spans="1:11" ht="26.1" customHeight="1" x14ac:dyDescent="0.25">
      <c r="A5" s="11" t="s">
        <v>47</v>
      </c>
      <c r="B5" s="11" t="s">
        <v>110</v>
      </c>
      <c r="C5" s="11" t="s">
        <v>210</v>
      </c>
      <c r="D5" s="11" t="s">
        <v>211</v>
      </c>
      <c r="E5" s="11" t="s">
        <v>212</v>
      </c>
    </row>
    <row r="6" spans="1:11" ht="18" customHeight="1" x14ac:dyDescent="0.25">
      <c r="A6" s="32" t="s">
        <v>49</v>
      </c>
      <c r="B6" s="52">
        <v>49544</v>
      </c>
      <c r="C6" s="53" t="s">
        <v>213</v>
      </c>
      <c r="D6" s="57" t="s">
        <v>214</v>
      </c>
      <c r="E6" s="58" t="s">
        <v>215</v>
      </c>
    </row>
    <row r="7" spans="1:11" ht="18" customHeight="1" x14ac:dyDescent="0.25">
      <c r="A7" s="31" t="s">
        <v>50</v>
      </c>
      <c r="B7" s="59">
        <v>61386</v>
      </c>
      <c r="C7" s="60" t="s">
        <v>216</v>
      </c>
      <c r="D7" s="60" t="s">
        <v>216</v>
      </c>
      <c r="E7" s="61" t="s">
        <v>217</v>
      </c>
    </row>
    <row r="8" spans="1:11" ht="18" customHeight="1" x14ac:dyDescent="0.25">
      <c r="A8" s="32" t="s">
        <v>51</v>
      </c>
      <c r="B8" s="52">
        <v>82024</v>
      </c>
      <c r="C8" s="57" t="s">
        <v>218</v>
      </c>
      <c r="D8" s="57" t="s">
        <v>219</v>
      </c>
      <c r="E8" s="58" t="s">
        <v>220</v>
      </c>
    </row>
    <row r="9" spans="1:11" ht="18" customHeight="1" x14ac:dyDescent="0.25">
      <c r="A9" s="22" t="s">
        <v>52</v>
      </c>
      <c r="B9" s="33">
        <v>93440</v>
      </c>
      <c r="C9" s="49" t="s">
        <v>221</v>
      </c>
      <c r="D9" s="49" t="s">
        <v>222</v>
      </c>
      <c r="E9" s="35" t="s">
        <v>223</v>
      </c>
    </row>
    <row r="12" spans="1:11" ht="21.95" customHeight="1" x14ac:dyDescent="0.25">
      <c r="A12" s="105" t="s">
        <v>224</v>
      </c>
      <c r="B12" s="68"/>
      <c r="C12" s="68"/>
      <c r="D12" s="68"/>
      <c r="E12" s="68"/>
    </row>
    <row r="13" spans="1:11" ht="26.1" customHeight="1" x14ac:dyDescent="0.25">
      <c r="A13" s="11" t="s">
        <v>225</v>
      </c>
      <c r="B13" s="11" t="s">
        <v>226</v>
      </c>
      <c r="C13" s="11" t="s">
        <v>48</v>
      </c>
      <c r="D13" s="11" t="s">
        <v>227</v>
      </c>
      <c r="E13" s="11" t="s">
        <v>142</v>
      </c>
    </row>
    <row r="14" spans="1:11" ht="18" customHeight="1" x14ac:dyDescent="0.25">
      <c r="A14" s="12" t="s">
        <v>228</v>
      </c>
      <c r="B14" s="30" t="s">
        <v>50</v>
      </c>
      <c r="C14" s="13" t="s">
        <v>229</v>
      </c>
      <c r="D14" s="62" t="s">
        <v>230</v>
      </c>
      <c r="E14" s="14" t="s">
        <v>231</v>
      </c>
    </row>
    <row r="15" spans="1:11" ht="18" customHeight="1" x14ac:dyDescent="0.25">
      <c r="A15" s="12" t="s">
        <v>232</v>
      </c>
      <c r="B15" s="30" t="s">
        <v>51</v>
      </c>
      <c r="C15" s="13" t="s">
        <v>233</v>
      </c>
      <c r="D15" s="62" t="s">
        <v>230</v>
      </c>
      <c r="E15" s="14" t="s">
        <v>234</v>
      </c>
    </row>
    <row r="16" spans="1:11" ht="18" customHeight="1" x14ac:dyDescent="0.25">
      <c r="A16" s="54" t="s">
        <v>235</v>
      </c>
      <c r="B16" s="25" t="s">
        <v>52</v>
      </c>
      <c r="C16" s="63" t="s">
        <v>236</v>
      </c>
      <c r="D16" s="64" t="s">
        <v>237</v>
      </c>
      <c r="E16" s="26" t="s">
        <v>238</v>
      </c>
    </row>
    <row r="17" spans="1:5" ht="18" customHeight="1" x14ac:dyDescent="0.25">
      <c r="A17" s="55" t="s">
        <v>239</v>
      </c>
      <c r="B17" s="28" t="s">
        <v>52</v>
      </c>
      <c r="C17" s="65" t="s">
        <v>240</v>
      </c>
      <c r="D17" s="66" t="s">
        <v>241</v>
      </c>
      <c r="E17" s="29" t="s">
        <v>242</v>
      </c>
    </row>
    <row r="18" spans="1:5" ht="18" customHeight="1" x14ac:dyDescent="0.25">
      <c r="A18" s="54" t="s">
        <v>243</v>
      </c>
      <c r="B18" s="25" t="s">
        <v>51</v>
      </c>
      <c r="C18" s="63" t="s">
        <v>244</v>
      </c>
      <c r="D18" s="64" t="s">
        <v>245</v>
      </c>
      <c r="E18" s="26" t="s">
        <v>246</v>
      </c>
    </row>
    <row r="20" spans="1:5" ht="21.95" customHeight="1" x14ac:dyDescent="0.25">
      <c r="A20" s="109" t="s">
        <v>247</v>
      </c>
      <c r="B20" s="68"/>
      <c r="C20" s="68"/>
      <c r="D20" s="68"/>
      <c r="E20" s="68"/>
    </row>
    <row r="25" spans="1:5" x14ac:dyDescent="0.25">
      <c r="A25" t="s">
        <v>47</v>
      </c>
      <c r="B25" t="s">
        <v>48</v>
      </c>
    </row>
    <row r="26" spans="1:5" x14ac:dyDescent="0.25">
      <c r="A26" t="s">
        <v>49</v>
      </c>
      <c r="B26">
        <v>49544</v>
      </c>
    </row>
    <row r="27" spans="1:5" x14ac:dyDescent="0.25">
      <c r="A27" t="s">
        <v>50</v>
      </c>
      <c r="B27">
        <v>61386</v>
      </c>
    </row>
    <row r="28" spans="1:5" x14ac:dyDescent="0.25">
      <c r="A28" t="s">
        <v>51</v>
      </c>
      <c r="B28">
        <v>82024</v>
      </c>
    </row>
    <row r="29" spans="1:5" x14ac:dyDescent="0.25">
      <c r="A29" t="s">
        <v>52</v>
      </c>
      <c r="B29">
        <v>93440</v>
      </c>
    </row>
    <row r="32" spans="1:5" x14ac:dyDescent="0.25">
      <c r="A32" t="s">
        <v>225</v>
      </c>
      <c r="B32" t="s">
        <v>49</v>
      </c>
      <c r="C32" t="s">
        <v>50</v>
      </c>
      <c r="D32" t="s">
        <v>51</v>
      </c>
      <c r="E32" t="s">
        <v>52</v>
      </c>
    </row>
    <row r="33" spans="1:5" x14ac:dyDescent="0.25">
      <c r="A33" t="s">
        <v>248</v>
      </c>
      <c r="B33">
        <v>2450</v>
      </c>
      <c r="C33">
        <v>-3281</v>
      </c>
      <c r="D33">
        <v>3053</v>
      </c>
      <c r="E33">
        <v>7140</v>
      </c>
    </row>
    <row r="34" spans="1:5" x14ac:dyDescent="0.25">
      <c r="A34" t="s">
        <v>249</v>
      </c>
      <c r="B34">
        <v>862</v>
      </c>
      <c r="C34">
        <v>2814</v>
      </c>
      <c r="D34">
        <v>5005</v>
      </c>
      <c r="E34">
        <v>1614</v>
      </c>
    </row>
    <row r="35" spans="1:5" x14ac:dyDescent="0.25">
      <c r="A35" t="s">
        <v>250</v>
      </c>
      <c r="B35">
        <v>499</v>
      </c>
      <c r="C35">
        <v>9732</v>
      </c>
      <c r="D35">
        <v>3612</v>
      </c>
      <c r="E35">
        <v>14752</v>
      </c>
    </row>
    <row r="36" spans="1:5" x14ac:dyDescent="0.25">
      <c r="A36" t="s">
        <v>251</v>
      </c>
      <c r="B36">
        <v>3489</v>
      </c>
      <c r="C36">
        <v>4187</v>
      </c>
      <c r="D36">
        <v>2978</v>
      </c>
      <c r="E36">
        <v>933</v>
      </c>
    </row>
    <row r="37" spans="1:5" x14ac:dyDescent="0.25">
      <c r="A37" t="s">
        <v>252</v>
      </c>
      <c r="B37">
        <v>2739</v>
      </c>
      <c r="C37">
        <v>4668</v>
      </c>
      <c r="D37">
        <v>8662</v>
      </c>
      <c r="E37">
        <v>6343</v>
      </c>
    </row>
    <row r="38" spans="1:5" x14ac:dyDescent="0.25">
      <c r="A38" t="s">
        <v>253</v>
      </c>
      <c r="B38">
        <v>4977</v>
      </c>
      <c r="C38">
        <v>3336</v>
      </c>
      <c r="D38">
        <v>4750</v>
      </c>
      <c r="E38">
        <v>8223</v>
      </c>
    </row>
    <row r="39" spans="1:5" x14ac:dyDescent="0.25">
      <c r="A39" t="s">
        <v>254</v>
      </c>
      <c r="B39">
        <v>-841</v>
      </c>
      <c r="C39">
        <v>3289</v>
      </c>
      <c r="D39">
        <v>4433</v>
      </c>
      <c r="E39">
        <v>6954</v>
      </c>
    </row>
    <row r="40" spans="1:5" x14ac:dyDescent="0.25">
      <c r="A40" t="s">
        <v>255</v>
      </c>
      <c r="B40">
        <v>5318</v>
      </c>
      <c r="C40">
        <v>5356</v>
      </c>
      <c r="D40">
        <v>2062</v>
      </c>
      <c r="E40">
        <v>9041</v>
      </c>
    </row>
    <row r="41" spans="1:5" x14ac:dyDescent="0.25">
      <c r="A41" t="s">
        <v>256</v>
      </c>
      <c r="B41">
        <v>8328</v>
      </c>
      <c r="C41">
        <v>7976</v>
      </c>
      <c r="D41">
        <v>9329</v>
      </c>
      <c r="E41">
        <v>10992</v>
      </c>
    </row>
    <row r="42" spans="1:5" x14ac:dyDescent="0.25">
      <c r="A42" t="s">
        <v>257</v>
      </c>
      <c r="B42">
        <v>3448</v>
      </c>
      <c r="C42">
        <v>2817</v>
      </c>
      <c r="D42">
        <v>16243</v>
      </c>
      <c r="E42">
        <v>9275</v>
      </c>
    </row>
    <row r="43" spans="1:5" x14ac:dyDescent="0.25">
      <c r="A43" t="s">
        <v>258</v>
      </c>
      <c r="B43">
        <v>9292</v>
      </c>
      <c r="C43">
        <v>12475</v>
      </c>
      <c r="D43">
        <v>4011</v>
      </c>
      <c r="E43">
        <v>9690</v>
      </c>
    </row>
    <row r="44" spans="1:5" x14ac:dyDescent="0.25">
      <c r="A44" t="s">
        <v>259</v>
      </c>
      <c r="B44">
        <v>8984</v>
      </c>
      <c r="C44">
        <v>8017</v>
      </c>
      <c r="D44">
        <v>17885</v>
      </c>
      <c r="E44">
        <v>8483</v>
      </c>
    </row>
  </sheetData>
  <mergeCells count="5">
    <mergeCell ref="A12:E12"/>
    <mergeCell ref="A4:E4"/>
    <mergeCell ref="A20:E20"/>
    <mergeCell ref="A2:K2"/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Overview</vt:lpstr>
      <vt:lpstr>Regional Analysis</vt:lpstr>
      <vt:lpstr>Product Analysis</vt:lpstr>
      <vt:lpstr>Customer Analysis</vt:lpstr>
      <vt:lpstr>Time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2026-06-04T00:12:03Z</dcterms:created>
  <dcterms:modified xsi:type="dcterms:W3CDTF">2026-06-04T00:41:31Z</dcterms:modified>
</cp:coreProperties>
</file>